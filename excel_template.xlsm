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Emballage\ENCADREMENT\Grégoire\"/>
    </mc:Choice>
  </mc:AlternateContent>
  <xr:revisionPtr revIDLastSave="0" documentId="8_{B0666989-03D6-4D7A-B654-E8FDD0629EE3}" xr6:coauthVersionLast="47" xr6:coauthVersionMax="47" xr10:uidLastSave="{00000000-0000-0000-0000-000000000000}"/>
  <bookViews>
    <workbookView xWindow="30" yWindow="735" windowWidth="23970" windowHeight="12765" xr2:uid="{00000000-000D-0000-FFFF-FFFF00000000}"/>
  </bookViews>
  <sheets>
    <sheet name="ENS Qualité" sheetId="2" r:id="rId1"/>
    <sheet name="ENS Sécurité" sheetId="1" r:id="rId2"/>
    <sheet name="ENS Environnement Energie" sheetId="3" r:id="rId3"/>
    <sheet name="BDD1" sheetId="4" state="hidden" r:id="rId4"/>
    <sheet name="BDD" sheetId="5" state="hidden" r:id="rId5"/>
  </sheets>
  <definedNames>
    <definedName name="_Choix2">'BDD1'!$L$2:$L$13</definedName>
    <definedName name="_xleta.EXP" hidden="1">#NAME?</definedName>
    <definedName name="ActivAtelier">'ENS Sécurité'!$N$2</definedName>
    <definedName name="Choix1">'BDD1'!$A$1:$J$1</definedName>
    <definedName name="DateApp">'ENS Sécurité'!$A$3</definedName>
    <definedName name="_xlnm.Print_Titles" localSheetId="2">'ENS Environnement Energie'!$1:$4</definedName>
    <definedName name="_xlnm.Print_Titles" localSheetId="0">'ENS Qualité'!$1:$4</definedName>
    <definedName name="_xlnm.Print_Titles" localSheetId="1">'ENS Sécurité'!$1:$4</definedName>
    <definedName name="Perimetre">'ENS Sécurité'!$A$1</definedName>
    <definedName name="ReferenceIT">'ENS Sécurité'!$N$3</definedName>
    <definedName name="ReferenceMetier">'ENS Sécurité'!$N$1</definedName>
    <definedName name="Titre">'ENS Sécurité'!$C$2</definedName>
    <definedName name="TypeDoc">'ENS Sécurité'!$C$1</definedName>
    <definedName name="Version">'ENS Sécurité'!$N$4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5" i="5" l="1"/>
  <c r="C2" i="2"/>
  <c r="A109" i="5"/>
  <c r="A107" i="5"/>
  <c r="A105" i="5"/>
  <c r="A88" i="5"/>
  <c r="A83" i="5" l="1"/>
  <c r="A81" i="5"/>
  <c r="A79" i="5"/>
  <c r="A80" i="5"/>
  <c r="A93" i="5"/>
  <c r="A94" i="5"/>
  <c r="A95" i="5"/>
  <c r="A96" i="5"/>
  <c r="A97" i="5"/>
  <c r="A98" i="5"/>
  <c r="A99" i="5"/>
  <c r="A100" i="5"/>
  <c r="A90" i="5"/>
  <c r="A85" i="5"/>
  <c r="A86" i="5"/>
  <c r="A87" i="5"/>
  <c r="A58" i="5"/>
  <c r="A77" i="5"/>
  <c r="A52" i="5"/>
  <c r="A39" i="5"/>
  <c r="A40" i="5"/>
  <c r="A32" i="5"/>
  <c r="A19" i="5"/>
  <c r="B72" i="2" l="1"/>
  <c r="A131" i="5"/>
  <c r="A130" i="5"/>
  <c r="A121" i="5"/>
  <c r="A120" i="5"/>
  <c r="A119" i="5"/>
  <c r="A118" i="5"/>
  <c r="A117" i="5"/>
  <c r="A116" i="5"/>
  <c r="A115" i="5"/>
  <c r="A114" i="5"/>
  <c r="A113" i="5"/>
  <c r="A112" i="5"/>
  <c r="A110" i="5"/>
  <c r="A106" i="5"/>
  <c r="A104" i="5"/>
  <c r="A103" i="5"/>
  <c r="A102" i="5"/>
  <c r="A101" i="5"/>
  <c r="A92" i="5"/>
  <c r="A89" i="5"/>
  <c r="A84" i="5"/>
  <c r="A82" i="5"/>
  <c r="A78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7" i="5"/>
  <c r="A56" i="5"/>
  <c r="A55" i="5"/>
  <c r="A53" i="5"/>
  <c r="A50" i="5"/>
  <c r="A49" i="5"/>
  <c r="A48" i="5"/>
  <c r="A47" i="5"/>
  <c r="A46" i="5"/>
  <c r="A45" i="5"/>
  <c r="A44" i="5"/>
  <c r="A43" i="5"/>
  <c r="A42" i="5"/>
  <c r="A41" i="5"/>
  <c r="A36" i="5"/>
  <c r="A35" i="5"/>
  <c r="A34" i="5"/>
  <c r="A33" i="5"/>
  <c r="A31" i="5"/>
  <c r="A30" i="5"/>
  <c r="A29" i="5"/>
  <c r="A28" i="5"/>
  <c r="A27" i="5"/>
  <c r="A23" i="5"/>
  <c r="A22" i="5"/>
  <c r="A21" i="5"/>
  <c r="A20" i="5"/>
  <c r="A18" i="5"/>
  <c r="A17" i="5"/>
  <c r="A16" i="5"/>
  <c r="A15" i="5"/>
  <c r="A14" i="5"/>
  <c r="A11" i="5"/>
  <c r="A10" i="5"/>
  <c r="A9" i="5"/>
  <c r="A8" i="5"/>
  <c r="A7" i="5"/>
  <c r="A6" i="5"/>
  <c r="L1" i="4"/>
  <c r="L5" i="4" s="1"/>
  <c r="B64" i="3"/>
  <c r="B62" i="3"/>
  <c r="B58" i="3"/>
  <c r="B57" i="3"/>
  <c r="C56" i="3"/>
  <c r="B56" i="3"/>
  <c r="B54" i="3"/>
  <c r="B53" i="3"/>
  <c r="C52" i="3"/>
  <c r="B52" i="3"/>
  <c r="K7" i="3"/>
  <c r="N4" i="3"/>
  <c r="N3" i="3"/>
  <c r="A3" i="3"/>
  <c r="N2" i="3"/>
  <c r="C2" i="3"/>
  <c r="N1" i="3"/>
  <c r="C1" i="3"/>
  <c r="A1" i="3"/>
  <c r="K7" i="1"/>
  <c r="B69" i="2"/>
  <c r="B68" i="2"/>
  <c r="B67" i="2"/>
  <c r="B66" i="2"/>
  <c r="C64" i="2" s="1"/>
  <c r="B65" i="2"/>
  <c r="H64" i="2"/>
  <c r="B64" i="2"/>
  <c r="I63" i="2"/>
  <c r="H63" i="2"/>
  <c r="I62" i="2"/>
  <c r="H62" i="2"/>
  <c r="B62" i="2"/>
  <c r="I61" i="2"/>
  <c r="H61" i="2"/>
  <c r="B61" i="2"/>
  <c r="I60" i="2"/>
  <c r="K60" i="2" s="1"/>
  <c r="H60" i="2"/>
  <c r="K59" i="2" s="1"/>
  <c r="B60" i="2"/>
  <c r="I59" i="2"/>
  <c r="H59" i="2"/>
  <c r="G59" i="2"/>
  <c r="K58" i="2"/>
  <c r="E58" i="2" s="1"/>
  <c r="N4" i="2"/>
  <c r="N3" i="2"/>
  <c r="A3" i="2"/>
  <c r="N2" i="2"/>
  <c r="N1" i="2"/>
  <c r="C1" i="2"/>
  <c r="A1" i="2"/>
  <c r="L8" i="4" l="1"/>
  <c r="L11" i="4"/>
  <c r="L10" i="4"/>
  <c r="C60" i="2"/>
  <c r="A3" i="5"/>
  <c r="A129" i="5"/>
  <c r="A2" i="5"/>
  <c r="A128" i="5"/>
  <c r="A127" i="5"/>
  <c r="A126" i="5"/>
  <c r="A124" i="5"/>
  <c r="A123" i="5"/>
  <c r="A122" i="5"/>
  <c r="L6" i="4"/>
  <c r="L7" i="4"/>
  <c r="L9" i="4"/>
  <c r="L12" i="4"/>
  <c r="L13" i="4"/>
  <c r="L2" i="4"/>
  <c r="L3" i="4"/>
  <c r="L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MAILLET Clara, Bouvron</author>
  </authors>
  <commentList>
    <comment ref="G30" authorId="0" shapeId="0" xr:uid="{00000000-0006-0000-0000-000001000000}">
      <text>
        <r>
          <rPr>
            <b/>
            <sz val="9"/>
            <rFont val="Tahoma"/>
            <family val="2"/>
          </rPr>
          <t xml:space="preserve">Non-conformité mineure = anomalie </t>
        </r>
        <r>
          <rPr>
            <sz val="9"/>
            <rFont val="Tahoma"/>
            <family val="2"/>
          </rPr>
          <t xml:space="preserve">: situation anormale ne présentant pas de risque pour la sécurité des aliments. </t>
        </r>
      </text>
    </comment>
    <comment ref="K30" authorId="0" shapeId="0" xr:uid="{00000000-0006-0000-0000-000002000000}">
      <text>
        <r>
          <rPr>
            <b/>
            <sz val="9"/>
            <rFont val="Tahoma"/>
            <family val="2"/>
          </rPr>
          <t>Non-conformité majeure</t>
        </r>
        <r>
          <rPr>
            <sz val="9"/>
            <rFont val="Tahoma"/>
            <family val="2"/>
          </rPr>
          <t xml:space="preserve"> : non-conformité affectant la qualité du produit mais ne présentant pas forcément un danger pour la santé du consommateur.</t>
        </r>
      </text>
    </comment>
    <comment ref="N30" authorId="0" shapeId="0" xr:uid="{00000000-0006-0000-0000-000003000000}">
      <text>
        <r>
          <rPr>
            <b/>
            <sz val="9"/>
            <rFont val="Tahoma"/>
            <family val="2"/>
          </rPr>
          <t>Non-conformité critique</t>
        </r>
        <r>
          <rPr>
            <sz val="9"/>
            <rFont val="Tahoma"/>
            <family val="2"/>
          </rPr>
          <t xml:space="preserve"> : non-conformité qui a une incidence directe sur la sécurité sanitaire des produits. (CCP, PRPo, corps étranger). Non-respect des exigences légales. </t>
        </r>
      </text>
    </comment>
    <comment ref="C51" authorId="0" shapeId="0" xr:uid="{00000000-0006-0000-0000-000004000000}">
      <text>
        <r>
          <rPr>
            <b/>
            <sz val="9"/>
            <rFont val="Tahoma"/>
            <family val="2"/>
          </rPr>
          <t>Correction = action immédiate</t>
        </r>
        <r>
          <rPr>
            <sz val="9"/>
            <rFont val="Tahoma"/>
            <family val="2"/>
          </rPr>
          <t xml:space="preserve"> : Action visant à éliminer la non-conformité détectée</t>
        </r>
      </text>
    </comment>
    <comment ref="C52" authorId="0" shapeId="0" xr:uid="{00000000-0006-0000-0000-000005000000}">
      <text>
        <r>
          <rPr>
            <b/>
            <sz val="9"/>
            <rFont val="Tahoma"/>
            <family val="2"/>
          </rPr>
          <t>Action corrective = action différée</t>
        </r>
        <r>
          <rPr>
            <sz val="9"/>
            <rFont val="Tahoma"/>
            <family val="2"/>
          </rPr>
          <t xml:space="preserve"> : Action à mener pour éliminer les causes d'une non-conformité afin d'éviter qu'elle ne se reproduise.</t>
        </r>
      </text>
    </comment>
  </commentList>
</comments>
</file>

<file path=xl/sharedStrings.xml><?xml version="1.0" encoding="utf-8"?>
<sst xmlns="http://schemas.openxmlformats.org/spreadsheetml/2006/main" count="670" uniqueCount="360">
  <si>
    <t>Qualité</t>
  </si>
  <si>
    <t>Date d'application :
01/10/2024</t>
  </si>
  <si>
    <t>Lactadoc
LF - BOUVRON</t>
  </si>
  <si>
    <t>DOC-2025-00784</t>
  </si>
  <si>
    <t>FE.SQU.013</t>
  </si>
  <si>
    <t>FICHE DE NON-CONFORMITÉ OU D'AMELIORATION QUALITE, SECURITE, ENVIRONNEMENT</t>
  </si>
  <si>
    <t>Feuille d'enregistrement</t>
  </si>
  <si>
    <t>Version : 12</t>
  </si>
  <si>
    <t xml:space="preserve">Déclaration d'une non-conformité qualité </t>
  </si>
  <si>
    <r>
      <t>Date de l'évènement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</si>
  <si>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r>
      <t>Constaté par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</t>
    </r>
  </si>
  <si>
    <r>
      <t>Service émetteur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</si>
  <si>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r>
      <t>Service concerné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</t>
    </r>
  </si>
  <si>
    <t>IDENTIFICATION</t>
  </si>
  <si>
    <r>
      <t>Non-conformité constatée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</si>
  <si>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r>
      <t>Défaut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</si>
  <si>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t xml:space="preserve">Si CCP/PRPo : </t>
  </si>
  <si>
    <r>
      <t>Catégorie (si corps étranger)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</t>
    </r>
  </si>
  <si>
    <t>Qté concernée :</t>
  </si>
  <si>
    <t>Traçabilité du produit</t>
  </si>
  <si>
    <t>Traçabilité autres</t>
  </si>
  <si>
    <t>Produit :</t>
  </si>
  <si>
    <t>N° de lot :</t>
  </si>
  <si>
    <t>Grammage :</t>
  </si>
  <si>
    <t>N° de palette :</t>
  </si>
  <si>
    <t>Marque :</t>
  </si>
  <si>
    <t>Code SCA/article :</t>
  </si>
  <si>
    <t>Ligne :</t>
  </si>
  <si>
    <t>Référence interne :</t>
  </si>
  <si>
    <t>DDM :</t>
  </si>
  <si>
    <t>Date de production :</t>
  </si>
  <si>
    <t>Quantième :</t>
  </si>
  <si>
    <t>N° de bobine :</t>
  </si>
  <si>
    <t>Heure :</t>
  </si>
  <si>
    <t>Autres (précisez) :</t>
  </si>
  <si>
    <t>NATURE</t>
  </si>
  <si>
    <r>
      <t>Description</t>
    </r>
    <r>
      <rPr>
        <b/>
        <sz val="9"/>
        <color rgb="FFFF0000"/>
        <rFont val="Arial"/>
        <family val="2"/>
      </rPr>
      <t>*</t>
    </r>
    <r>
      <rPr>
        <b/>
        <sz val="9"/>
        <rFont val="Arial"/>
        <family val="2"/>
      </rPr>
      <t xml:space="preserve"> : </t>
    </r>
  </si>
  <si>
    <r>
      <t>Evaluation de la criticité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</si>
  <si>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t>Mineure</t>
  </si>
  <si>
    <t xml:space="preserve">Majeure </t>
  </si>
  <si>
    <t xml:space="preserve">Critique </t>
  </si>
  <si>
    <r>
      <t>Est-ce que la non-conformité a un impact Sécurité des aliments sur le produit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?</t>
    </r>
  </si>
  <si>
    <t>TRAITEMENT</t>
  </si>
  <si>
    <t xml:space="preserve">Traitement du produit non-conforme : </t>
  </si>
  <si>
    <t>Blocage en attente de décision</t>
  </si>
  <si>
    <t>Méthanisation</t>
  </si>
  <si>
    <t>Fonte (Lons)</t>
  </si>
  <si>
    <t xml:space="preserve">Nouvelles analyses </t>
  </si>
  <si>
    <t>Alimentation animale (Biosilait)</t>
  </si>
  <si>
    <t xml:space="preserve">Date du traitement : </t>
  </si>
  <si>
    <t xml:space="preserve">Nom : </t>
  </si>
  <si>
    <t>ANALYSE DES CAUSES</t>
  </si>
  <si>
    <t>Causes :</t>
  </si>
  <si>
    <r>
      <t>Main d'œuvre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</t>
    </r>
  </si>
  <si>
    <r>
      <t>Matériel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</t>
    </r>
  </si>
  <si>
    <r>
      <t>Méthode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</si>
  <si>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r>
      <t>Milieu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</si>
  <si>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r>
      <t>Matière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 </t>
    </r>
  </si>
  <si>
    <t>CORRECTION(S)</t>
  </si>
  <si>
    <t>Actions</t>
  </si>
  <si>
    <t>Resp</t>
  </si>
  <si>
    <t>Délai</t>
  </si>
  <si>
    <t xml:space="preserve">Etat </t>
  </si>
  <si>
    <t>Immédiate(s) :
Sur le matériel</t>
  </si>
  <si>
    <t>ACTION(S) CORRECTIVE(S)</t>
  </si>
  <si>
    <t>Différée(s) :</t>
  </si>
  <si>
    <t>REDACTION :</t>
  </si>
  <si>
    <r>
      <t>Date de rédaction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</t>
    </r>
  </si>
  <si>
    <r>
      <t>Nom du rédacteur</t>
    </r>
    <r>
      <rPr>
        <sz val="9"/>
        <color rgb="FFFF0000"/>
        <rFont val="Arial"/>
        <family val="2"/>
      </rPr>
      <t>*</t>
    </r>
    <r>
      <rPr>
        <sz val="9"/>
        <rFont val="Arial"/>
        <family val="2"/>
      </rPr>
      <t xml:space="preserve"> :</t>
    </r>
  </si>
  <si>
    <t>Type d'ENS</t>
  </si>
  <si>
    <t>ENS Qualité</t>
  </si>
  <si>
    <t>ENS Sécurité</t>
  </si>
  <si>
    <t>ENS Environnement/Energie</t>
  </si>
  <si>
    <t>Criticité</t>
  </si>
  <si>
    <t xml:space="preserve">Traitement </t>
  </si>
  <si>
    <t>Traça autres</t>
  </si>
  <si>
    <t>Qualité - Autre</t>
  </si>
  <si>
    <t>Moisissures</t>
  </si>
  <si>
    <t>Goût - texture - odeur</t>
  </si>
  <si>
    <t>Aspect</t>
  </si>
  <si>
    <t>Corps étranger</t>
  </si>
  <si>
    <t>Microbiologie</t>
  </si>
  <si>
    <t>Physico-chimie</t>
  </si>
  <si>
    <t>Emballage - marquage</t>
  </si>
  <si>
    <t>Poids</t>
  </si>
  <si>
    <t>Nuisibles</t>
  </si>
  <si>
    <t>/</t>
  </si>
  <si>
    <t>Plastique dur</t>
  </si>
  <si>
    <t>Plastique divers</t>
  </si>
  <si>
    <t>Papier/Carton</t>
  </si>
  <si>
    <t>Verre</t>
  </si>
  <si>
    <t>Graisse</t>
  </si>
  <si>
    <t>Métal</t>
  </si>
  <si>
    <t>Encre/marquage</t>
  </si>
  <si>
    <t>Nuisible</t>
  </si>
  <si>
    <t>Fromage</t>
  </si>
  <si>
    <t>Bois</t>
  </si>
  <si>
    <t>Cheveu</t>
  </si>
  <si>
    <t>Autre</t>
  </si>
  <si>
    <t>Adresses mail pour envoi automatique</t>
  </si>
  <si>
    <t>Lucie.BELLIOT@fr.lactalis.com</t>
  </si>
  <si>
    <t>Service</t>
  </si>
  <si>
    <t>Fonctionnement</t>
  </si>
  <si>
    <t>Type de risque</t>
  </si>
  <si>
    <t>Non-conformité constatée 1</t>
  </si>
  <si>
    <t>Non-conformité constatée 2</t>
  </si>
  <si>
    <t>Catégorie (si corps étranger) :</t>
  </si>
  <si>
    <t>Lieu (Fab Aff PPC)</t>
  </si>
  <si>
    <t>Poste (Fab Aff PPC)</t>
  </si>
  <si>
    <t>Type d'actions</t>
  </si>
  <si>
    <t>Clos</t>
  </si>
  <si>
    <t>Règle d'or</t>
  </si>
  <si>
    <t>REPC</t>
  </si>
  <si>
    <t>Normal</t>
  </si>
  <si>
    <t>Agents chimiques dangereux</t>
  </si>
  <si>
    <t>Situation</t>
  </si>
  <si>
    <t>cuve</t>
  </si>
  <si>
    <t>salle de soins</t>
  </si>
  <si>
    <t>Humaine</t>
  </si>
  <si>
    <t>Close</t>
  </si>
  <si>
    <t>EPI</t>
  </si>
  <si>
    <t>Fabrication PPC</t>
  </si>
  <si>
    <t>Dysfonctionnement</t>
  </si>
  <si>
    <t>Ambiances climatiques / températures extrêmes</t>
  </si>
  <si>
    <t>Matière première / Ingrédient</t>
  </si>
  <si>
    <t>pressage</t>
  </si>
  <si>
    <t>sortie saumure</t>
  </si>
  <si>
    <t>Organisationnelle</t>
  </si>
  <si>
    <t>En cours</t>
  </si>
  <si>
    <t>Machines</t>
  </si>
  <si>
    <t>Affinage PPC</t>
  </si>
  <si>
    <t>Nettoyage</t>
  </si>
  <si>
    <t>ATEX - risque explosion</t>
  </si>
  <si>
    <t>Produit en cours</t>
  </si>
  <si>
    <t>GSV</t>
  </si>
  <si>
    <t>conduite moulage</t>
  </si>
  <si>
    <t>Technique</t>
  </si>
  <si>
    <t>A lancer</t>
  </si>
  <si>
    <t>Consignation</t>
  </si>
  <si>
    <t>Nicolas.OUTIN@fr.lactalis.com</t>
  </si>
  <si>
    <t>Conditionnement PPC</t>
  </si>
  <si>
    <t>Maintenance</t>
  </si>
  <si>
    <t>Bruit</t>
  </si>
  <si>
    <t>Produit Fini</t>
  </si>
  <si>
    <t>Acidification</t>
  </si>
  <si>
    <t>conduite cuves</t>
  </si>
  <si>
    <t>Espace confiné / Travail en hauteur</t>
  </si>
  <si>
    <t>Samuel.LORANT@fr.lactalis.com</t>
  </si>
  <si>
    <t>Expéditions PPC</t>
  </si>
  <si>
    <t>Brûlure thermique</t>
  </si>
  <si>
    <t>Emballage</t>
  </si>
  <si>
    <t>Laverie</t>
  </si>
  <si>
    <t>cariste appro sds</t>
  </si>
  <si>
    <t>Produit chimique</t>
  </si>
  <si>
    <t>Christophe.BORDAIS@fr.lactalis.com</t>
  </si>
  <si>
    <t>Fabrication PPNC</t>
  </si>
  <si>
    <t>Chute avec dénivellation</t>
  </si>
  <si>
    <t>Echantillon</t>
  </si>
  <si>
    <t>Saumure</t>
  </si>
  <si>
    <t>cariste sortie saumure</t>
  </si>
  <si>
    <t>Manutention manuelle / Posture</t>
  </si>
  <si>
    <t>Anthony.CHEVALIER@fr.lactalis.com</t>
  </si>
  <si>
    <t>Affinage PPNC</t>
  </si>
  <si>
    <t>Chute de hauteur</t>
  </si>
  <si>
    <t>filtre/pasto saumure</t>
  </si>
  <si>
    <t>cariste cave</t>
  </si>
  <si>
    <t>Conduite d'engins</t>
  </si>
  <si>
    <t>Gilles.GUINEHEUX@fr.lactalis.com</t>
  </si>
  <si>
    <t>Conditionnement PPNC</t>
  </si>
  <si>
    <t>Chute de plain-pied</t>
  </si>
  <si>
    <t>salle levains</t>
  </si>
  <si>
    <t>gradeur</t>
  </si>
  <si>
    <t xml:space="preserve">Circulation piétonne </t>
  </si>
  <si>
    <t>Solene.ADAMOLLE@fr.lactalis.com</t>
  </si>
  <si>
    <t>Expéditions PPNC</t>
  </si>
  <si>
    <t>Chute d'objet</t>
  </si>
  <si>
    <t>Sortie saumure</t>
  </si>
  <si>
    <t>nettoyage fab</t>
  </si>
  <si>
    <t xml:space="preserve">Circulation routière </t>
  </si>
  <si>
    <t>Maintenance générale</t>
  </si>
  <si>
    <t>Circulation</t>
  </si>
  <si>
    <t>sds</t>
  </si>
  <si>
    <t>expedition camion</t>
  </si>
  <si>
    <t>NON APPLICABLE</t>
  </si>
  <si>
    <t>Maintenance Fab/Aff PPC</t>
  </si>
  <si>
    <t>Coincement / Ecrasement</t>
  </si>
  <si>
    <t>cave</t>
  </si>
  <si>
    <t>prepa camions</t>
  </si>
  <si>
    <t>Frederic.VERGEREAU@fr.lactalis.com</t>
  </si>
  <si>
    <t>Maintenance Condi PPC</t>
  </si>
  <si>
    <t>Coupure</t>
  </si>
  <si>
    <t>Quai</t>
  </si>
  <si>
    <t>autre</t>
  </si>
  <si>
    <t>Jean-Luc.CHIRON@fr.lactalis.com</t>
  </si>
  <si>
    <t>Maintenance Fab PPNC</t>
  </si>
  <si>
    <t>Ecran</t>
  </si>
  <si>
    <t>Local chargeur</t>
  </si>
  <si>
    <t>Philippe.LEFEUVRE@fr.lactalis.com</t>
  </si>
  <si>
    <t>Maintenance Condi PPNC</t>
  </si>
  <si>
    <t>Electricité</t>
  </si>
  <si>
    <t>Autres</t>
  </si>
  <si>
    <t>Maintenance REPC</t>
  </si>
  <si>
    <t>Espaces confinés</t>
  </si>
  <si>
    <t>E301</t>
  </si>
  <si>
    <t>Yves.BARBIER@fr.lactalis.com</t>
  </si>
  <si>
    <t>Magasin</t>
  </si>
  <si>
    <t>Gestes répétitifs</t>
  </si>
  <si>
    <t>TANK de Mat</t>
  </si>
  <si>
    <t>Laboratoire</t>
  </si>
  <si>
    <t>Incendie</t>
  </si>
  <si>
    <t>Chariot</t>
  </si>
  <si>
    <t>Sebastien.GIRAUDEAU@fr.lactalis.com</t>
  </si>
  <si>
    <t>Collecte</t>
  </si>
  <si>
    <t>combles</t>
  </si>
  <si>
    <t>Eloi.HOMO@fr.lactalis.com</t>
  </si>
  <si>
    <t>Administratif</t>
  </si>
  <si>
    <t>Manutention manuelle</t>
  </si>
  <si>
    <t>locaux sociaux</t>
  </si>
  <si>
    <t>Aristide.POISBEAU@fr.lactalis.com</t>
  </si>
  <si>
    <t>Garage</t>
  </si>
  <si>
    <t>Manutention mécanique</t>
  </si>
  <si>
    <t>Galerie</t>
  </si>
  <si>
    <t>Florent.MAGAGNIN@fr.lactalis.com</t>
  </si>
  <si>
    <t>Rétrocession</t>
  </si>
  <si>
    <t>Outils à main</t>
  </si>
  <si>
    <t>Manip meules</t>
  </si>
  <si>
    <t>Froid ferme</t>
  </si>
  <si>
    <t>Postures pénibles</t>
  </si>
  <si>
    <t>Démouleuse</t>
  </si>
  <si>
    <t>Risque biologique</t>
  </si>
  <si>
    <t>CCP/PRPo</t>
  </si>
  <si>
    <t>Oui</t>
  </si>
  <si>
    <t>Frigo cdt</t>
  </si>
  <si>
    <t>Environnement</t>
  </si>
  <si>
    <t>Risque routier</t>
  </si>
  <si>
    <t>CCP - Antibiotiques</t>
  </si>
  <si>
    <t>Non</t>
  </si>
  <si>
    <t>Sécurité</t>
  </si>
  <si>
    <t>Risques physiques</t>
  </si>
  <si>
    <t>CCP - Pasteurisation</t>
  </si>
  <si>
    <t>Risques psychosociaux</t>
  </si>
  <si>
    <t xml:space="preserve">PRPo - Préparation milieu ferment </t>
  </si>
  <si>
    <t xml:space="preserve">En cours </t>
  </si>
  <si>
    <t>Travail de nuit</t>
  </si>
  <si>
    <t>CCP - DPM</t>
  </si>
  <si>
    <t xml:space="preserve">Clôturé </t>
  </si>
  <si>
    <t>Travail en équipes alternantes</t>
  </si>
  <si>
    <t xml:space="preserve">PRPo - Etanchéité </t>
  </si>
  <si>
    <t>Vibrations mécaniques</t>
  </si>
  <si>
    <t>PRPo - Composition gazeuse</t>
  </si>
  <si>
    <t>Loevan.CHAUMONT@fr.lactalis.com</t>
  </si>
  <si>
    <t>Jean-Charles.SOURISSEAU@fr.lactalis.com</t>
  </si>
  <si>
    <t>Laurent.MIGNOT@fr.lactalis.com</t>
  </si>
  <si>
    <t>Samim.RASTKAR@fr.lactalis.com</t>
  </si>
  <si>
    <t>Regis.EON@fr.lactalis.com</t>
  </si>
  <si>
    <t>Olivier.LEROUX@fr.lactalis.com</t>
  </si>
  <si>
    <t>Cyril.JOLLY@fr.lactalis.com</t>
  </si>
  <si>
    <t>Dany.COUTANT@fr.lactalis.com</t>
  </si>
  <si>
    <t>Isabelle.PLEDEL@fr.lactalis.com</t>
  </si>
  <si>
    <t>Juliane.DUFOUR@fr.lactalis.com</t>
  </si>
  <si>
    <t>Luc.AGASSE@fr.lactalis.com</t>
  </si>
  <si>
    <t>Charles.RIAUD@fr.lactalis.com</t>
  </si>
  <si>
    <t>SYLVAIN.MALO@fr.lactalis.com</t>
  </si>
  <si>
    <t>Laura.MOISELLE@fr.lactalis.com</t>
  </si>
  <si>
    <t>Chefdequipe.FabPPNC@fr.lactalis.com</t>
  </si>
  <si>
    <t>clemence.ninane@fr.lactalis.com</t>
  </si>
  <si>
    <t>david.truffier@fr.lactalis.com</t>
  </si>
  <si>
    <t>damien.bidet@fr.lactalis.com</t>
  </si>
  <si>
    <t>fabien.rigaud@fr.lactalis.com</t>
  </si>
  <si>
    <t>Chefsdequipe.AffinagePPNCBOUVRON@fr.lactalis.com</t>
  </si>
  <si>
    <t>Arnaud.GUILLET@fr.lactalis.com</t>
  </si>
  <si>
    <t>Frederic.TRIBALLEAU@fr.lactalis.com</t>
  </si>
  <si>
    <t>leo.sanchez@fr.lactalis.com</t>
  </si>
  <si>
    <t>Maxime.LABBE@fr.lactalis.com</t>
  </si>
  <si>
    <t>quentin.braquet@fr.lactalis.com</t>
  </si>
  <si>
    <t>Yannick.FREHEL@fr.lactalis.com</t>
  </si>
  <si>
    <t>johanna.ribes@fr.lactalis.com</t>
  </si>
  <si>
    <t>Chefsdequipe.PPNC@fr.lactalis.com</t>
  </si>
  <si>
    <t>gaetan.guiller@fr.lactalis.com</t>
  </si>
  <si>
    <t>paul.bellina@fr.lactalis.com</t>
  </si>
  <si>
    <t>Pascal.GILBERT@fr.lactalis.com</t>
  </si>
  <si>
    <t>Alexandre.HUET@fr.lactalis.com</t>
  </si>
  <si>
    <t>Alain.ROBIN@fr.lactalis.com</t>
  </si>
  <si>
    <t>Frederic.ROBIN@fr.lactalis.com</t>
  </si>
  <si>
    <t>Cyrille.RAMBAUD@fr.lactalis.com</t>
  </si>
  <si>
    <t>Vincent.ROY@fr.lactalis.com</t>
  </si>
  <si>
    <t>Damien.BIDET@fr.lactalis.com</t>
  </si>
  <si>
    <t>Laurent.RIALLOT@fr.lactalis.com</t>
  </si>
  <si>
    <t>Maintenance Energies</t>
  </si>
  <si>
    <t>Corentin.BEGNON@fr.lactalis.com</t>
  </si>
  <si>
    <t>STEP</t>
  </si>
  <si>
    <t>Dominique.PANHELLEUX@fr.lactalis.com</t>
  </si>
  <si>
    <t>gregory.delouche@fr.lactalis.com</t>
  </si>
  <si>
    <t>Tiphaine.DESERT@fr.lactalis.com</t>
  </si>
  <si>
    <t>Frederic.CHEVALIER@fr.lactalis.com</t>
  </si>
  <si>
    <t>Richard.DELORME@fr.lactalis.com</t>
  </si>
  <si>
    <t>Didier.PRENEAU@fr.lactalis.com</t>
  </si>
  <si>
    <t>Benoit.PELLERAY@fr.lactalis.com</t>
  </si>
  <si>
    <t>Jacky.PELLERIN@fr.lactalis.com</t>
  </si>
  <si>
    <t>Achraf.MERCHICH@fr.lactalis.com</t>
  </si>
  <si>
    <t>Anais.LEGOAZIOU@fr.lactalis.com</t>
  </si>
  <si>
    <t>Claire.DRUGEON@fr.lactalis.com</t>
  </si>
  <si>
    <t>Gerald.DELPORTE@fr.lactalis.com</t>
  </si>
  <si>
    <t>Maxime.HELLEC@fr.lactalis.com</t>
  </si>
  <si>
    <t>Carole.LEGUELLEC@fr.lactalis.com</t>
  </si>
  <si>
    <t>Florent.LAMBERT@fr.lactalis.com</t>
  </si>
  <si>
    <t>Virginie.DUPAS@fr.lactalis.com</t>
  </si>
  <si>
    <t>Constance.TERRIEN@fr.lactalis.com</t>
  </si>
  <si>
    <t>Samantha.COQUELIN@fr.lactalis.com</t>
  </si>
  <si>
    <t>Valerie.ORAIN@fr.lactalis.com</t>
  </si>
  <si>
    <t>Magali.BREHE@fr.lactalis.com</t>
  </si>
  <si>
    <t>PPNC</t>
  </si>
  <si>
    <t>PPC</t>
  </si>
  <si>
    <t>Déclaration d'une remontée sécurité des personnes</t>
  </si>
  <si>
    <t xml:space="preserve">Date de l'évènement : </t>
  </si>
  <si>
    <t>Constaté par / à l'origine :</t>
  </si>
  <si>
    <t xml:space="preserve">Service : </t>
  </si>
  <si>
    <t>Sécurité des personnes</t>
  </si>
  <si>
    <t xml:space="preserve">Presqu’accident 
</t>
  </si>
  <si>
    <t xml:space="preserve">Situation ou condition dangereuse </t>
  </si>
  <si>
    <t>Acte dangereux</t>
  </si>
  <si>
    <t>Impact environnemental</t>
  </si>
  <si>
    <t xml:space="preserve">Description : </t>
  </si>
  <si>
    <r>
      <t xml:space="preserve">Règle d'or associée </t>
    </r>
    <r>
      <rPr>
        <i/>
        <sz val="10"/>
        <rFont val="Arial"/>
        <family val="2"/>
      </rPr>
      <t>(si applicable) :</t>
    </r>
  </si>
  <si>
    <t>Causes (main d'œuvre, matériel, méthode, milieu..)</t>
  </si>
  <si>
    <t>ACTIONS CORRECTIVES</t>
  </si>
  <si>
    <t>Type d'action</t>
  </si>
  <si>
    <t>Clos ou à lancer</t>
  </si>
  <si>
    <r>
      <t xml:space="preserve">Immédiate(s) :
</t>
    </r>
    <r>
      <rPr>
        <i/>
        <sz val="8"/>
        <rFont val="Arial"/>
        <family val="2"/>
      </rPr>
      <t>(balisage, sensibilisation…)</t>
    </r>
  </si>
  <si>
    <t>Date de rédaction :</t>
  </si>
  <si>
    <t>Nom du rédacteur :</t>
  </si>
  <si>
    <t>ENS</t>
  </si>
  <si>
    <t>Déclaration d'une non-conformité environnement/énergie</t>
  </si>
  <si>
    <t>Environnement/Energie</t>
  </si>
  <si>
    <t>Eaux (fuite : eaux usées, eaux pluviales, eaux de ville...)</t>
  </si>
  <si>
    <t>Déchets (tri …)</t>
  </si>
  <si>
    <t xml:space="preserve">Autres (réglementaire…) </t>
  </si>
  <si>
    <t>Air : fuite, rejet (chaudière, TAR)</t>
  </si>
  <si>
    <t xml:space="preserve">Précisez : </t>
  </si>
  <si>
    <t>Sol (déversement au sol)</t>
  </si>
  <si>
    <t xml:space="preserve">Evaluation de la criticité : </t>
  </si>
  <si>
    <t>Lagune</t>
  </si>
  <si>
    <t>Information</t>
  </si>
  <si>
    <t>Main d'œuvre :</t>
  </si>
  <si>
    <t>Matériel :</t>
  </si>
  <si>
    <t xml:space="preserve">Méthode : </t>
  </si>
  <si>
    <t xml:space="preserve">Milieu : </t>
  </si>
  <si>
    <t xml:space="preserve">Matière : </t>
  </si>
  <si>
    <t>Types d'actions</t>
  </si>
  <si>
    <t>Immédiates :</t>
  </si>
  <si>
    <t>Différée :</t>
  </si>
  <si>
    <t>CAUSES</t>
  </si>
  <si>
    <t>Isolement/rétention</t>
  </si>
  <si>
    <t>Dylan.DARU@fr.lactalis.com</t>
  </si>
  <si>
    <t>Laurence.PROVOST@fr.lactalis.com</t>
  </si>
  <si>
    <t>Ludovic.LEBEAU@fr.lactalis.com</t>
  </si>
  <si>
    <t>Elona.BILLIARD@fr.lactalis.com</t>
  </si>
  <si>
    <t>Zoe.LOQUET@fr.lactalis.com</t>
  </si>
  <si>
    <t>Elisa.VARACHAUD@fr.lactalis.com</t>
  </si>
  <si>
    <t>Coproduit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</si>
</sst>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9"/>
      <color rgb="FFFF000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9"/>
      <color rgb="FFFF0000"/>
      <name val="Arial"/>
      <family val="2"/>
    </font>
    <font>
      <sz val="8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sz val="10"/>
      <name val="Arial"/>
      <family val="2"/>
    </font>
    <font>
      <b/>
      <sz val="18"/>
      <name val="Arial"/>
      <family val="2"/>
    </font>
    <font>
      <u/>
      <sz val="10"/>
      <color theme="10"/>
      <name val="Arial"/>
      <family val="2"/>
    </font>
    <font>
      <i/>
      <sz val="10"/>
      <name val="Arial"/>
      <family val="2"/>
    </font>
    <font>
      <i/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lightDown">
        <bgColor theme="4" tint="0.79989013336588644"/>
      </patternFill>
    </fill>
    <fill>
      <patternFill patternType="solid">
        <fgColor theme="2" tint="-9.9917600024414813E-2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</borders>
  <cellStyleXfs count="3">
    <xf numFmtId="0" fontId="0" fillId="0" borderId="0"/>
    <xf numFmtId="0" fontId="13" fillId="0" borderId="0"/>
    <xf numFmtId="0" fontId="15" fillId="0" borderId="0" applyNumberFormat="0" applyFill="0" applyBorder="0" applyAlignment="0" applyProtection="0"/>
  </cellStyleXfs>
  <cellXfs count="263">
    <xf numFmtId="0" fontId="0" fillId="0" borderId="0" xfId="0"/>
    <xf numFmtId="0" fontId="5" fillId="0" borderId="0" xfId="0" applyFont="1" applyAlignment="1">
      <alignment wrapText="1"/>
    </xf>
    <xf numFmtId="0" fontId="5" fillId="0" borderId="1" xfId="0" applyFont="1" applyBorder="1" applyAlignment="1">
      <alignment wrapText="1"/>
    </xf>
    <xf numFmtId="0" fontId="5" fillId="0" borderId="2" xfId="0" applyFont="1" applyBorder="1" applyAlignment="1">
      <alignment wrapText="1"/>
    </xf>
    <xf numFmtId="0" fontId="5" fillId="0" borderId="3" xfId="0" applyFont="1" applyBorder="1" applyAlignment="1">
      <alignment wrapText="1"/>
    </xf>
    <xf numFmtId="0" fontId="7" fillId="0" borderId="0" xfId="0" applyFont="1" applyAlignment="1">
      <alignment horizontal="center" vertical="center" textRotation="90" wrapText="1"/>
    </xf>
    <xf numFmtId="0" fontId="7" fillId="0" borderId="3" xfId="0" applyFont="1" applyBorder="1" applyAlignment="1">
      <alignment vertical="center" wrapText="1"/>
    </xf>
    <xf numFmtId="0" fontId="5" fillId="0" borderId="4" xfId="0" applyFont="1" applyBorder="1" applyAlignment="1">
      <alignment wrapText="1"/>
    </xf>
    <xf numFmtId="0" fontId="5" fillId="0" borderId="4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0" borderId="5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7" fillId="0" borderId="7" xfId="0" applyFont="1" applyBorder="1" applyAlignment="1">
      <alignment horizontal="center" vertical="center" textRotation="90" wrapText="1"/>
    </xf>
    <xf numFmtId="0" fontId="5" fillId="2" borderId="3" xfId="0" applyFont="1" applyFill="1" applyBorder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left" vertical="center" wrapText="1"/>
    </xf>
    <xf numFmtId="0" fontId="7" fillId="0" borderId="8" xfId="0" applyFont="1" applyBorder="1" applyAlignment="1">
      <alignment horizontal="center" vertical="center" textRotation="90" wrapText="1"/>
    </xf>
    <xf numFmtId="0" fontId="7" fillId="0" borderId="5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wrapText="1"/>
    </xf>
    <xf numFmtId="0" fontId="5" fillId="0" borderId="9" xfId="0" applyFont="1" applyBorder="1" applyAlignment="1">
      <alignment horizontal="right" wrapText="1"/>
    </xf>
    <xf numFmtId="0" fontId="5" fillId="0" borderId="10" xfId="0" applyFont="1" applyBorder="1" applyAlignment="1">
      <alignment vertical="center" wrapText="1"/>
    </xf>
    <xf numFmtId="0" fontId="5" fillId="0" borderId="0" xfId="0" applyFont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8" fillId="0" borderId="11" xfId="0" applyFont="1" applyBorder="1" applyAlignment="1">
      <alignment horizontal="center" vertical="center" textRotation="90" wrapText="1"/>
    </xf>
    <xf numFmtId="0" fontId="5" fillId="0" borderId="3" xfId="0" applyFont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7" fillId="0" borderId="8" xfId="0" applyFont="1" applyBorder="1" applyAlignment="1">
      <alignment vertical="center" textRotation="90" wrapText="1"/>
    </xf>
    <xf numFmtId="0" fontId="7" fillId="0" borderId="0" xfId="0" applyFont="1" applyAlignment="1">
      <alignment vertical="center" textRotation="90" wrapText="1"/>
    </xf>
    <xf numFmtId="0" fontId="5" fillId="4" borderId="4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5" fillId="4" borderId="4" xfId="0" applyFont="1" applyFill="1" applyBorder="1" applyAlignment="1">
      <alignment wrapText="1"/>
    </xf>
    <xf numFmtId="0" fontId="5" fillId="0" borderId="5" xfId="0" applyFont="1" applyBorder="1" applyAlignment="1">
      <alignment horizontal="center" vertical="center" wrapText="1"/>
    </xf>
    <xf numFmtId="0" fontId="13" fillId="0" borderId="4" xfId="1" applyBorder="1" applyAlignment="1">
      <alignment horizontal="center" vertical="center"/>
    </xf>
    <xf numFmtId="0" fontId="13" fillId="0" borderId="0" xfId="1"/>
    <xf numFmtId="0" fontId="13" fillId="0" borderId="0" xfId="1" applyAlignment="1">
      <alignment horizontal="center"/>
    </xf>
    <xf numFmtId="0" fontId="13" fillId="0" borderId="4" xfId="1" applyBorder="1"/>
    <xf numFmtId="0" fontId="4" fillId="5" borderId="4" xfId="1" applyFont="1" applyFill="1" applyBorder="1"/>
    <xf numFmtId="0" fontId="13" fillId="6" borderId="4" xfId="1" applyFill="1" applyBorder="1" applyAlignment="1">
      <alignment horizontal="center" vertical="center"/>
    </xf>
    <xf numFmtId="0" fontId="13" fillId="7" borderId="4" xfId="1" applyFill="1" applyBorder="1" applyAlignment="1">
      <alignment horizontal="center" vertical="center"/>
    </xf>
    <xf numFmtId="0" fontId="13" fillId="7" borderId="11" xfId="1" applyFill="1" applyBorder="1" applyAlignment="1">
      <alignment horizontal="center" vertical="center"/>
    </xf>
    <xf numFmtId="0" fontId="13" fillId="4" borderId="4" xfId="1" applyFill="1" applyBorder="1"/>
    <xf numFmtId="0" fontId="13" fillId="0" borderId="12" xfId="1" applyBorder="1" applyAlignment="1">
      <alignment horizontal="center" vertical="center"/>
    </xf>
    <xf numFmtId="0" fontId="13" fillId="0" borderId="8" xfId="1" applyBorder="1" applyAlignment="1">
      <alignment horizontal="center" vertical="center"/>
    </xf>
    <xf numFmtId="0" fontId="3" fillId="0" borderId="13" xfId="1" applyFont="1" applyBorder="1" applyAlignment="1">
      <alignment vertical="center" wrapText="1"/>
    </xf>
    <xf numFmtId="0" fontId="13" fillId="0" borderId="11" xfId="1" applyBorder="1" applyAlignment="1">
      <alignment horizontal="center" vertical="center"/>
    </xf>
    <xf numFmtId="0" fontId="13" fillId="8" borderId="4" xfId="1" applyFill="1" applyBorder="1"/>
    <xf numFmtId="0" fontId="3" fillId="0" borderId="4" xfId="1" applyFont="1" applyBorder="1" applyAlignment="1">
      <alignment vertical="center" wrapText="1"/>
    </xf>
    <xf numFmtId="0" fontId="13" fillId="0" borderId="0" xfId="1" applyAlignment="1">
      <alignment horizontal="center" vertical="center"/>
    </xf>
    <xf numFmtId="0" fontId="13" fillId="3" borderId="4" xfId="1" applyFill="1" applyBorder="1"/>
    <xf numFmtId="0" fontId="13" fillId="0" borderId="4" xfId="1" applyBorder="1" applyAlignment="1">
      <alignment horizontal="center"/>
    </xf>
    <xf numFmtId="0" fontId="13" fillId="3" borderId="4" xfId="1" applyFill="1" applyBorder="1" applyAlignment="1">
      <alignment vertical="center"/>
    </xf>
    <xf numFmtId="0" fontId="4" fillId="0" borderId="0" xfId="1" applyFont="1"/>
    <xf numFmtId="0" fontId="13" fillId="0" borderId="0" xfId="1" applyAlignment="1">
      <alignment horizontal="left" vertical="center"/>
    </xf>
    <xf numFmtId="0" fontId="5" fillId="9" borderId="4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2" borderId="0" xfId="0" applyFont="1" applyFill="1" applyAlignment="1">
      <alignment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0" fontId="5" fillId="0" borderId="3" xfId="0" applyFont="1" applyBorder="1" applyAlignment="1">
      <alignment vertical="top" wrapText="1"/>
    </xf>
    <xf numFmtId="0" fontId="10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10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textRotation="90" wrapText="1"/>
    </xf>
    <xf numFmtId="0" fontId="5" fillId="0" borderId="1" xfId="0" applyFont="1" applyBorder="1" applyAlignment="1">
      <alignment horizontal="center" wrapText="1"/>
    </xf>
    <xf numFmtId="0" fontId="5" fillId="3" borderId="4" xfId="0" applyFont="1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textRotation="90" wrapText="1"/>
    </xf>
    <xf numFmtId="0" fontId="5" fillId="0" borderId="7" xfId="0" applyFont="1" applyBorder="1"/>
    <xf numFmtId="0" fontId="5" fillId="0" borderId="7" xfId="0" applyFont="1" applyBorder="1" applyAlignment="1">
      <alignment horizontal="left" vertical="center"/>
    </xf>
    <xf numFmtId="0" fontId="7" fillId="0" borderId="7" xfId="0" applyFont="1" applyBorder="1" applyAlignment="1">
      <alignment vertical="center" textRotation="90" wrapText="1"/>
    </xf>
    <xf numFmtId="0" fontId="5" fillId="0" borderId="14" xfId="0" applyFont="1" applyBorder="1" applyAlignment="1">
      <alignment horizontal="center" vertical="center" wrapText="1"/>
    </xf>
    <xf numFmtId="0" fontId="5" fillId="0" borderId="7" xfId="0" applyFont="1" applyBorder="1" applyAlignment="1">
      <alignment wrapText="1"/>
    </xf>
    <xf numFmtId="0" fontId="5" fillId="0" borderId="8" xfId="0" applyFont="1" applyBorder="1" applyAlignment="1">
      <alignment wrapText="1"/>
    </xf>
    <xf numFmtId="0" fontId="5" fillId="0" borderId="6" xfId="0" applyFont="1" applyBorder="1" applyAlignment="1">
      <alignment horizontal="center" vertical="center" wrapText="1"/>
    </xf>
    <xf numFmtId="164" fontId="10" fillId="10" borderId="4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7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9" xfId="0" applyFont="1" applyBorder="1" applyAlignment="1">
      <alignment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0" fontId="5" fillId="0" borderId="7" xfId="0" applyFont="1" applyBorder="1" applyAlignment="1">
      <alignment horizontal="right" vertical="center" wrapText="1"/>
    </xf>
    <xf numFmtId="0" fontId="5" fillId="0" borderId="0" xfId="0" applyFont="1" applyAlignment="1">
      <alignment horizontal="right" vertical="center" wrapText="1"/>
    </xf>
    <xf numFmtId="14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left" vertical="center" wrapText="1"/>
    </xf>
    <xf numFmtId="0" fontId="5" fillId="0" borderId="4" xfId="0" applyFont="1" applyBorder="1" applyAlignment="1">
      <alignment vertical="center" wrapText="1"/>
    </xf>
    <xf numFmtId="0" fontId="5" fillId="9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right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textRotation="90" wrapText="1"/>
    </xf>
    <xf numFmtId="0" fontId="7" fillId="0" borderId="11" xfId="0" applyFont="1" applyBorder="1" applyAlignment="1">
      <alignment horizontal="center" vertical="center" textRotation="90" wrapText="1"/>
    </xf>
    <xf numFmtId="0" fontId="7" fillId="0" borderId="13" xfId="0" applyFont="1" applyBorder="1" applyAlignment="1">
      <alignment horizontal="center" vertical="center" textRotation="90" wrapText="1"/>
    </xf>
    <xf numFmtId="0" fontId="5" fillId="0" borderId="14" xfId="0" applyFont="1" applyBorder="1" applyAlignment="1">
      <alignment horizontal="right" vertical="center" wrapText="1"/>
    </xf>
    <xf numFmtId="0" fontId="5" fillId="0" borderId="1" xfId="0" applyFont="1" applyBorder="1" applyAlignment="1">
      <alignment horizontal="right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14" fontId="5" fillId="3" borderId="4" xfId="0" applyNumberFormat="1" applyFont="1" applyFill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 textRotation="90" wrapText="1"/>
    </xf>
    <xf numFmtId="0" fontId="7" fillId="0" borderId="0" xfId="0" applyFont="1" applyAlignment="1">
      <alignment horizontal="left" vertical="center" wrapText="1"/>
    </xf>
    <xf numFmtId="0" fontId="5" fillId="9" borderId="14" xfId="0" applyFont="1" applyFill="1" applyBorder="1" applyAlignment="1">
      <alignment horizontal="left" vertical="top" wrapText="1"/>
    </xf>
    <xf numFmtId="0" fontId="5" fillId="9" borderId="1" xfId="0" applyFont="1" applyFill="1" applyBorder="1" applyAlignment="1">
      <alignment horizontal="left" vertical="top" wrapText="1"/>
    </xf>
    <xf numFmtId="0" fontId="5" fillId="9" borderId="2" xfId="0" applyFont="1" applyFill="1" applyBorder="1" applyAlignment="1">
      <alignment horizontal="left" vertical="top" wrapText="1"/>
    </xf>
    <xf numFmtId="0" fontId="5" fillId="9" borderId="7" xfId="0" applyFont="1" applyFill="1" applyBorder="1" applyAlignment="1">
      <alignment horizontal="left" vertical="top" wrapText="1"/>
    </xf>
    <xf numFmtId="0" fontId="5" fillId="9" borderId="0" xfId="0" applyFont="1" applyFill="1" applyAlignment="1">
      <alignment horizontal="left" vertical="top" wrapText="1"/>
    </xf>
    <xf numFmtId="0" fontId="5" fillId="9" borderId="3" xfId="0" applyFont="1" applyFill="1" applyBorder="1" applyAlignment="1">
      <alignment horizontal="left" vertical="top" wrapText="1"/>
    </xf>
    <xf numFmtId="0" fontId="5" fillId="9" borderId="8" xfId="0" applyFont="1" applyFill="1" applyBorder="1" applyAlignment="1">
      <alignment horizontal="left" vertical="top" wrapText="1"/>
    </xf>
    <xf numFmtId="0" fontId="5" fillId="9" borderId="5" xfId="0" applyFont="1" applyFill="1" applyBorder="1" applyAlignment="1">
      <alignment horizontal="left" vertical="top" wrapText="1"/>
    </xf>
    <xf numFmtId="0" fontId="5" fillId="9" borderId="6" xfId="0" applyFont="1" applyFill="1" applyBorder="1" applyAlignment="1">
      <alignment horizontal="left" vertical="top" wrapText="1"/>
    </xf>
    <xf numFmtId="0" fontId="5" fillId="2" borderId="7" xfId="0" applyFont="1" applyFill="1" applyBorder="1" applyAlignment="1">
      <alignment horizontal="right" vertical="center" wrapText="1"/>
    </xf>
    <xf numFmtId="0" fontId="5" fillId="2" borderId="0" xfId="0" applyFont="1" applyFill="1" applyAlignment="1">
      <alignment horizontal="right" vertical="center" wrapText="1"/>
    </xf>
    <xf numFmtId="0" fontId="5" fillId="2" borderId="3" xfId="0" applyFont="1" applyFill="1" applyBorder="1" applyAlignment="1">
      <alignment horizontal="right" vertical="center" wrapText="1"/>
    </xf>
    <xf numFmtId="0" fontId="5" fillId="2" borderId="0" xfId="0" applyFont="1" applyFill="1" applyAlignment="1">
      <alignment horizontal="center" vertical="center" wrapText="1"/>
    </xf>
    <xf numFmtId="0" fontId="5" fillId="11" borderId="7" xfId="0" applyFont="1" applyFill="1" applyBorder="1" applyAlignment="1">
      <alignment horizontal="right" vertical="center" wrapText="1"/>
    </xf>
    <xf numFmtId="0" fontId="5" fillId="11" borderId="0" xfId="0" applyFont="1" applyFill="1" applyAlignment="1">
      <alignment horizontal="right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5" fillId="3" borderId="12" xfId="0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left" vertical="center" wrapText="1"/>
    </xf>
    <xf numFmtId="0" fontId="5" fillId="3" borderId="10" xfId="0" applyFont="1" applyFill="1" applyBorder="1" applyAlignment="1">
      <alignment horizontal="left" vertical="center" wrapText="1"/>
    </xf>
    <xf numFmtId="20" fontId="5" fillId="3" borderId="4" xfId="0" applyNumberFormat="1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4" fontId="5" fillId="3" borderId="9" xfId="0" applyNumberFormat="1" applyFont="1" applyFill="1" applyBorder="1" applyAlignment="1">
      <alignment horizontal="left" vertical="center" wrapText="1"/>
    </xf>
    <xf numFmtId="0" fontId="7" fillId="0" borderId="1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5" fillId="9" borderId="16" xfId="0" applyFont="1" applyFill="1" applyBorder="1" applyAlignment="1">
      <alignment horizontal="left" wrapText="1"/>
    </xf>
    <xf numFmtId="0" fontId="5" fillId="9" borderId="17" xfId="0" applyFont="1" applyFill="1" applyBorder="1" applyAlignment="1">
      <alignment horizontal="left" wrapText="1"/>
    </xf>
    <xf numFmtId="0" fontId="5" fillId="9" borderId="18" xfId="0" applyFont="1" applyFill="1" applyBorder="1" applyAlignment="1">
      <alignment horizontal="left" wrapText="1"/>
    </xf>
    <xf numFmtId="0" fontId="5" fillId="9" borderId="19" xfId="0" applyFont="1" applyFill="1" applyBorder="1" applyAlignment="1">
      <alignment horizontal="left" wrapText="1"/>
    </xf>
    <xf numFmtId="0" fontId="5" fillId="9" borderId="0" xfId="0" applyFont="1" applyFill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8" fillId="0" borderId="15" xfId="0" applyFont="1" applyBorder="1" applyAlignment="1">
      <alignment horizontal="center" vertical="center" textRotation="90" wrapText="1"/>
    </xf>
    <xf numFmtId="0" fontId="8" fillId="0" borderId="11" xfId="0" applyFont="1" applyBorder="1" applyAlignment="1">
      <alignment horizontal="center" vertical="center" textRotation="90" wrapText="1"/>
    </xf>
    <xf numFmtId="0" fontId="8" fillId="0" borderId="13" xfId="0" applyFont="1" applyBorder="1" applyAlignment="1">
      <alignment horizontal="center" vertical="center" textRotation="90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16" fontId="5" fillId="3" borderId="4" xfId="0" applyNumberFormat="1" applyFont="1" applyFill="1" applyBorder="1" applyAlignment="1">
      <alignment horizontal="center" vertical="center" wrapText="1"/>
    </xf>
    <xf numFmtId="14" fontId="10" fillId="3" borderId="4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textRotation="90" wrapText="1"/>
    </xf>
    <xf numFmtId="0" fontId="7" fillId="0" borderId="0" xfId="0" applyFont="1" applyAlignment="1">
      <alignment horizontal="center" vertical="center" textRotation="90" wrapText="1"/>
    </xf>
    <xf numFmtId="0" fontId="5" fillId="0" borderId="5" xfId="0" applyFont="1" applyBorder="1" applyAlignment="1">
      <alignment horizontal="center" vertical="center" wrapText="1"/>
    </xf>
    <xf numFmtId="14" fontId="5" fillId="9" borderId="5" xfId="0" applyNumberFormat="1" applyFont="1" applyFill="1" applyBorder="1" applyAlignment="1">
      <alignment horizontal="left" vertical="center" wrapText="1"/>
    </xf>
    <xf numFmtId="0" fontId="5" fillId="9" borderId="5" xfId="0" applyFont="1" applyFill="1" applyBorder="1" applyAlignment="1">
      <alignment horizontal="left" vertical="center" wrapText="1"/>
    </xf>
    <xf numFmtId="0" fontId="5" fillId="9" borderId="6" xfId="0" applyFont="1" applyFill="1" applyBorder="1" applyAlignment="1">
      <alignment horizontal="left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14" fontId="5" fillId="3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164" fontId="10" fillId="12" borderId="4" xfId="0" applyNumberFormat="1" applyFont="1" applyFill="1" applyBorder="1" applyAlignment="1">
      <alignment horizontal="center" vertical="center" wrapText="1"/>
    </xf>
    <xf numFmtId="164" fontId="10" fillId="3" borderId="4" xfId="0" applyNumberFormat="1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3" borderId="14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left" vertical="top" wrapText="1"/>
    </xf>
    <xf numFmtId="0" fontId="5" fillId="3" borderId="7" xfId="0" applyFont="1" applyFill="1" applyBorder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0" fontId="5" fillId="3" borderId="3" xfId="0" applyFont="1" applyFill="1" applyBorder="1" applyAlignment="1">
      <alignment horizontal="left" vertical="top" wrapText="1"/>
    </xf>
    <xf numFmtId="0" fontId="5" fillId="3" borderId="8" xfId="0" applyFont="1" applyFill="1" applyBorder="1" applyAlignment="1">
      <alignment horizontal="left" vertical="top" wrapText="1"/>
    </xf>
    <xf numFmtId="0" fontId="5" fillId="3" borderId="5" xfId="0" applyFont="1" applyFill="1" applyBorder="1" applyAlignment="1">
      <alignment horizontal="left" vertical="top" wrapText="1"/>
    </xf>
    <xf numFmtId="0" fontId="5" fillId="3" borderId="6" xfId="0" applyFont="1" applyFill="1" applyBorder="1" applyAlignment="1">
      <alignment horizontal="left" vertical="top" wrapText="1"/>
    </xf>
    <xf numFmtId="0" fontId="13" fillId="0" borderId="1" xfId="0" applyFont="1" applyBorder="1" applyAlignment="1">
      <alignment horizontal="center" vertical="top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3" xfId="0" applyFont="1" applyBorder="1" applyAlignment="1">
      <alignment horizontal="left" wrapText="1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4" fontId="5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 wrapText="1"/>
    </xf>
    <xf numFmtId="0" fontId="5" fillId="3" borderId="3" xfId="0" applyFont="1" applyFill="1" applyBorder="1" applyAlignment="1">
      <alignment horizontal="left" vertical="center" wrapText="1"/>
    </xf>
    <xf numFmtId="0" fontId="5" fillId="10" borderId="0" xfId="0" applyFont="1" applyFill="1" applyAlignment="1">
      <alignment horizontal="center" vertical="center" wrapText="1"/>
    </xf>
    <xf numFmtId="0" fontId="5" fillId="0" borderId="8" xfId="0" applyFont="1" applyBorder="1" applyAlignment="1">
      <alignment horizontal="right" vertical="center" wrapText="1"/>
    </xf>
    <xf numFmtId="14" fontId="5" fillId="10" borderId="5" xfId="0" applyNumberFormat="1" applyFont="1" applyFill="1" applyBorder="1" applyAlignment="1">
      <alignment horizontal="center" vertical="center" wrapText="1"/>
    </xf>
    <xf numFmtId="0" fontId="5" fillId="10" borderId="5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left" wrapText="1"/>
    </xf>
    <xf numFmtId="0" fontId="5" fillId="10" borderId="16" xfId="0" applyFont="1" applyFill="1" applyBorder="1" applyAlignment="1">
      <alignment horizontal="left" vertical="center" wrapText="1"/>
    </xf>
    <xf numFmtId="0" fontId="5" fillId="10" borderId="17" xfId="0" applyFont="1" applyFill="1" applyBorder="1" applyAlignment="1">
      <alignment horizontal="left" vertical="center" wrapText="1"/>
    </xf>
    <xf numFmtId="0" fontId="5" fillId="10" borderId="18" xfId="0" applyFont="1" applyFill="1" applyBorder="1" applyAlignment="1">
      <alignment horizontal="left" vertical="center" wrapText="1"/>
    </xf>
    <xf numFmtId="0" fontId="5" fillId="10" borderId="19" xfId="0" applyFont="1" applyFill="1" applyBorder="1" applyAlignment="1">
      <alignment horizontal="left" vertical="center" wrapText="1"/>
    </xf>
    <xf numFmtId="0" fontId="5" fillId="10" borderId="0" xfId="0" applyFont="1" applyFill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6" xfId="0" applyFont="1" applyFill="1" applyBorder="1" applyAlignment="1">
      <alignment horizontal="center" vertical="center" wrapText="1"/>
    </xf>
    <xf numFmtId="0" fontId="5" fillId="10" borderId="4" xfId="0" applyFont="1" applyFill="1" applyBorder="1" applyAlignment="1">
      <alignment horizontal="center" vertical="center" wrapText="1"/>
    </xf>
    <xf numFmtId="164" fontId="10" fillId="10" borderId="4" xfId="0" applyNumberFormat="1" applyFont="1" applyFill="1" applyBorder="1" applyAlignment="1">
      <alignment horizontal="center" vertical="center" wrapText="1"/>
    </xf>
    <xf numFmtId="14" fontId="5" fillId="10" borderId="9" xfId="0" applyNumberFormat="1" applyFont="1" applyFill="1" applyBorder="1" applyAlignment="1">
      <alignment horizontal="center" vertical="center" wrapText="1"/>
    </xf>
    <xf numFmtId="0" fontId="5" fillId="10" borderId="9" xfId="0" applyFont="1" applyFill="1" applyBorder="1" applyAlignment="1">
      <alignment horizontal="center" vertical="center" wrapText="1"/>
    </xf>
    <xf numFmtId="0" fontId="5" fillId="10" borderId="14" xfId="0" applyFont="1" applyFill="1" applyBorder="1" applyAlignment="1">
      <alignment horizontal="left" vertical="center" wrapText="1"/>
    </xf>
    <xf numFmtId="0" fontId="5" fillId="10" borderId="1" xfId="0" applyFont="1" applyFill="1" applyBorder="1" applyAlignment="1">
      <alignment horizontal="left" vertical="center" wrapText="1"/>
    </xf>
    <xf numFmtId="0" fontId="5" fillId="10" borderId="2" xfId="0" applyFont="1" applyFill="1" applyBorder="1" applyAlignment="1">
      <alignment horizontal="left" vertical="center" wrapText="1"/>
    </xf>
    <xf numFmtId="0" fontId="5" fillId="10" borderId="7" xfId="0" applyFont="1" applyFill="1" applyBorder="1" applyAlignment="1">
      <alignment horizontal="left" vertical="center" wrapText="1"/>
    </xf>
    <xf numFmtId="0" fontId="5" fillId="10" borderId="8" xfId="0" applyFont="1" applyFill="1" applyBorder="1" applyAlignment="1">
      <alignment horizontal="left" vertical="center" wrapText="1"/>
    </xf>
    <xf numFmtId="0" fontId="5" fillId="10" borderId="5" xfId="0" applyFont="1" applyFill="1" applyBorder="1" applyAlignment="1">
      <alignment horizontal="left" vertical="center" wrapText="1"/>
    </xf>
    <xf numFmtId="0" fontId="5" fillId="10" borderId="6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left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 wrapText="1"/>
    </xf>
    <xf numFmtId="14" fontId="5" fillId="10" borderId="0" xfId="0" applyNumberFormat="1" applyFont="1" applyFill="1" applyAlignment="1">
      <alignment horizontal="center" vertical="center"/>
    </xf>
    <xf numFmtId="0" fontId="14" fillId="13" borderId="12" xfId="1" applyFont="1" applyFill="1" applyBorder="1" applyAlignment="1">
      <alignment horizontal="center" vertical="center"/>
    </xf>
    <xf numFmtId="0" fontId="14" fillId="13" borderId="9" xfId="1" applyFont="1" applyFill="1" applyBorder="1" applyAlignment="1">
      <alignment horizontal="center" vertical="center"/>
    </xf>
    <xf numFmtId="0" fontId="14" fillId="13" borderId="10" xfId="1" applyFont="1" applyFill="1" applyBorder="1" applyAlignment="1">
      <alignment horizontal="center" vertical="center"/>
    </xf>
  </cellXfs>
  <cellStyles count="3">
    <cellStyle name="Lien hypertexte 2" xfId="2" xr:uid="{00000000-0005-0000-0000-000007000000}"/>
    <cellStyle name="Normal" xfId="0" builtinId="0"/>
    <cellStyle name="Normal 2" xfId="1" xr:uid="{00000000-0005-0000-0000-000006000000}"/>
  </cellStyles>
  <dxfs count="2"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7</xdr:row>
          <xdr:rowOff>104775</xdr:rowOff>
        </xdr:from>
        <xdr:to>
          <xdr:col>13</xdr:col>
          <xdr:colOff>304800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des données qualité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132006</xdr:colOff>
      <xdr:row>7</xdr:row>
      <xdr:rowOff>174813</xdr:rowOff>
    </xdr:from>
    <xdr:to>
      <xdr:col>3</xdr:col>
      <xdr:colOff>141307</xdr:colOff>
      <xdr:row>10</xdr:row>
      <xdr:rowOff>190500</xdr:rowOff>
    </xdr:to>
    <xdr:sp macro="[0]!EnvoimailQualité" textlink="" fLocksText="0">
      <xdr:nvSpPr>
        <xdr:cNvPr id="4" name="Ellips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2006" y="1641663"/>
          <a:ext cx="1504726" cy="730062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anchor="ctr"/>
        <a:lstStyle/>
        <a:p>
          <a:pPr algn="ctr"/>
          <a:r>
            <a:rPr lang="fr-FR" sz="1100"/>
            <a:t>Envoi</a:t>
          </a:r>
          <a:r>
            <a:rPr lang="fr-FR" sz="1100" baseline="0"/>
            <a:t> de l'ENS par mail</a:t>
          </a:r>
          <a:endParaRPr lang="fr-FR" sz="1100"/>
        </a:p>
      </xdr:txBody>
    </xdr:sp>
    <xdr:clientData/>
  </xdr:twoCellAnchor>
  <xdr:twoCellAnchor>
    <xdr:from>
      <xdr:col>13</xdr:col>
      <xdr:colOff>578335</xdr:colOff>
      <xdr:row>7</xdr:row>
      <xdr:rowOff>215489</xdr:rowOff>
    </xdr:from>
    <xdr:to>
      <xdr:col>14</xdr:col>
      <xdr:colOff>636270</xdr:colOff>
      <xdr:row>11</xdr:row>
      <xdr:rowOff>1905</xdr:rowOff>
    </xdr:to>
    <xdr:sp macro="[0]!EffacementdesDonnéesQualité" textlink="" fLocksText="0">
      <xdr:nvSpPr>
        <xdr:cNvPr id="5" name="Ellips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88660" y="1682339"/>
          <a:ext cx="1410485" cy="738916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anchor="ctr"/>
        <a:lstStyle/>
        <a:p>
          <a:pPr algn="ctr"/>
          <a:r>
            <a:rPr lang="fr-FR" sz="1100"/>
            <a:t>Effacer</a:t>
          </a:r>
          <a:r>
            <a:rPr lang="fr-FR" sz="1100" baseline="0"/>
            <a:t> les données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8</xdr:row>
          <xdr:rowOff>95250</xdr:rowOff>
        </xdr:from>
        <xdr:to>
          <xdr:col>10</xdr:col>
          <xdr:colOff>247650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des données sécurité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64107</xdr:colOff>
      <xdr:row>12</xdr:row>
      <xdr:rowOff>114517</xdr:rowOff>
    </xdr:from>
    <xdr:to>
      <xdr:col>10</xdr:col>
      <xdr:colOff>57564</xdr:colOff>
      <xdr:row>15</xdr:row>
      <xdr:rowOff>135331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276475"/>
          <a:ext cx="790575" cy="523875"/>
        </a:xfrm>
        <a:prstGeom prst="rect">
          <a:avLst/>
        </a:prstGeom>
      </xdr:spPr>
    </xdr:pic>
    <xdr:clientData/>
  </xdr:twoCellAnchor>
  <xdr:twoCellAnchor>
    <xdr:from>
      <xdr:col>0</xdr:col>
      <xdr:colOff>457202</xdr:colOff>
      <xdr:row>6</xdr:row>
      <xdr:rowOff>71993</xdr:rowOff>
    </xdr:from>
    <xdr:to>
      <xdr:col>1</xdr:col>
      <xdr:colOff>892628</xdr:colOff>
      <xdr:row>12</xdr:row>
      <xdr:rowOff>54429</xdr:rowOff>
    </xdr:to>
    <xdr:sp macro="[0]!EnvoimailSécurité" textlink="" fLocksText="0">
      <xdr:nvSpPr>
        <xdr:cNvPr id="2" name="Ellips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7200" y="1276350"/>
          <a:ext cx="1162050" cy="9429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anchor="ctr"/>
        <a:lstStyle/>
        <a:p>
          <a:pPr algn="ctr"/>
          <a:r>
            <a:rPr lang="fr-FR" sz="1100"/>
            <a:t>Envoi</a:t>
          </a:r>
          <a:r>
            <a:rPr lang="fr-FR" sz="1100" baseline="0"/>
            <a:t> de l'ENS par mail</a:t>
          </a:r>
          <a:endParaRPr lang="fr-FR" sz="1100"/>
        </a:p>
      </xdr:txBody>
    </xdr:sp>
    <xdr:clientData/>
  </xdr:twoCellAnchor>
  <xdr:twoCellAnchor>
    <xdr:from>
      <xdr:col>0</xdr:col>
      <xdr:colOff>508107</xdr:colOff>
      <xdr:row>12</xdr:row>
      <xdr:rowOff>119742</xdr:rowOff>
    </xdr:from>
    <xdr:to>
      <xdr:col>1</xdr:col>
      <xdr:colOff>861861</xdr:colOff>
      <xdr:row>17</xdr:row>
      <xdr:rowOff>3313</xdr:rowOff>
    </xdr:to>
    <xdr:sp macro="[0]!EffacementdesDonnéesSécurité" textlink="" fLocksText="0">
      <xdr:nvSpPr>
        <xdr:cNvPr id="4" name="El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04825" y="2286000"/>
          <a:ext cx="1076325" cy="733425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anchor="ctr"/>
        <a:lstStyle/>
        <a:p>
          <a:pPr algn="ctr"/>
          <a:r>
            <a:rPr lang="fr-FR" sz="1100"/>
            <a:t>Effacer</a:t>
          </a:r>
          <a:r>
            <a:rPr lang="fr-FR" sz="1100" baseline="0"/>
            <a:t> les données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179071</xdr:colOff>
      <xdr:row>9</xdr:row>
      <xdr:rowOff>120015</xdr:rowOff>
    </xdr:from>
    <xdr:to>
      <xdr:col>10</xdr:col>
      <xdr:colOff>2540</xdr:colOff>
      <xdr:row>14</xdr:row>
      <xdr:rowOff>0</xdr:rowOff>
    </xdr:to>
    <xdr:pic>
      <xdr:nvPicPr>
        <xdr:cNvPr id="2" name="Image 1" descr="Charte Environnement, vers une démarche éco-citoyenn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3914775" y="1895475"/>
          <a:ext cx="7239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466725</xdr:colOff>
      <xdr:row>6</xdr:row>
      <xdr:rowOff>104775</xdr:rowOff>
    </xdr:from>
    <xdr:to>
      <xdr:col>1</xdr:col>
      <xdr:colOff>866775</xdr:colOff>
      <xdr:row>12</xdr:row>
      <xdr:rowOff>28575</xdr:rowOff>
    </xdr:to>
    <xdr:sp macro="[0]!EnvoiMailEnvironnement" textlink="" fLocksText="0">
      <xdr:nvSpPr>
        <xdr:cNvPr id="3" name="Ellips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1362075"/>
          <a:ext cx="1066800" cy="8953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anchor="ctr"/>
        <a:lstStyle/>
        <a:p>
          <a:pPr algn="ctr"/>
          <a:r>
            <a:rPr lang="fr-FR" sz="1050"/>
            <a:t>Envoi</a:t>
          </a:r>
          <a:r>
            <a:rPr lang="fr-FR" sz="1050" baseline="0"/>
            <a:t> de l'ENS par mail</a:t>
          </a:r>
          <a:endParaRPr lang="fr-FR" sz="1050"/>
        </a:p>
      </xdr:txBody>
    </xdr:sp>
    <xdr:clientData/>
  </xdr:twoCellAnchor>
  <xdr:twoCellAnchor>
    <xdr:from>
      <xdr:col>0</xdr:col>
      <xdr:colOff>483340</xdr:colOff>
      <xdr:row>12</xdr:row>
      <xdr:rowOff>144904</xdr:rowOff>
    </xdr:from>
    <xdr:to>
      <xdr:col>1</xdr:col>
      <xdr:colOff>863220</xdr:colOff>
      <xdr:row>17</xdr:row>
      <xdr:rowOff>28475</xdr:rowOff>
    </xdr:to>
    <xdr:sp macro="[0]!EffacementdesDonnéesEnvironnement" textlink="" fLocksText="0">
      <xdr:nvSpPr>
        <xdr:cNvPr id="4" name="Ellips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85775" y="2371725"/>
          <a:ext cx="1047750" cy="733425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anchor="ctr"/>
        <a:lstStyle/>
        <a:p>
          <a:pPr algn="ctr"/>
          <a:r>
            <a:rPr lang="fr-FR" sz="1050"/>
            <a:t>Effacer</a:t>
          </a:r>
          <a:r>
            <a:rPr lang="fr-FR" sz="1050" baseline="0"/>
            <a:t> les données</a:t>
          </a:r>
          <a:endParaRPr lang="fr-FR" sz="105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O76"/>
  <sheetViews>
    <sheetView tabSelected="1" view="pageBreakPreview" zoomScale="115" zoomScaleNormal="100" zoomScaleSheetLayoutView="115" workbookViewId="0">
      <selection activeCell="EB10" sqref="EB10"/>
    </sheetView>
  </sheetViews>
  <sheetFormatPr baseColWidth="10" defaultColWidth="0.140625" defaultRowHeight="15" outlineLevelRow="1" x14ac:dyDescent="0.25"/>
  <cols>
    <col min="1" max="1" width="7.5703125" customWidth="1"/>
    <col min="2" max="2" width="11.28515625" customWidth="1"/>
    <col min="3" max="3" width="2" customWidth="1"/>
    <col min="4" max="4" width="13.7109375" customWidth="1"/>
    <col min="5" max="5" width="8.140625" customWidth="1"/>
    <col min="6" max="6" width="3.85546875" customWidth="1"/>
    <col min="7" max="7" width="6.5703125" customWidth="1"/>
    <col min="8" max="8" width="2.85546875" customWidth="1"/>
    <col min="9" max="9" width="7.85546875" customWidth="1"/>
    <col min="10" max="10" width="3.7109375" customWidth="1"/>
    <col min="11" max="11" width="11.28515625" customWidth="1"/>
    <col min="12" max="12" width="6.28515625" customWidth="1"/>
    <col min="13" max="13" width="4.42578125" customWidth="1"/>
    <col min="14" max="14" width="19" customWidth="1"/>
    <col min="15" max="15" width="6.85546875" customWidth="1"/>
    <col min="16" max="16" width="0.7109375" customWidth="1"/>
    <col min="17" max="17" width="2.42578125" customWidth="1"/>
    <col min="18" max="26" width="0.140625" customWidth="1"/>
  </cols>
  <sheetData>
    <row r="1" spans="1:15" ht="14.45" customHeight="1" x14ac:dyDescent="0.25">
      <c r="A1" s="118" t="str">
        <f>""&amp;'ENS Sécurité'!A1</f>
        <v>Lactadoc
LF - BOUVRON</v>
      </c>
      <c r="B1" s="119"/>
      <c r="C1" s="106" t="str">
        <f>""&amp;'ENS Sécurité'!C1</f>
        <v>Feuille d'enregistrement</v>
      </c>
      <c r="D1" s="107"/>
      <c r="E1" s="107"/>
      <c r="F1" s="107"/>
      <c r="G1" s="107"/>
      <c r="H1" s="107"/>
      <c r="I1" s="107"/>
      <c r="J1" s="107"/>
      <c r="K1" s="107"/>
      <c r="L1" s="107"/>
      <c r="M1" s="108"/>
      <c r="N1" s="103" t="str">
        <f>""&amp;'ENS Sécurité'!N1</f>
        <v>FE.SQU.013</v>
      </c>
      <c r="O1" s="103"/>
    </row>
    <row r="2" spans="1:15" x14ac:dyDescent="0.25">
      <c r="A2" s="120"/>
      <c r="B2" s="121"/>
      <c r="C2" s="109" t="str">
        <f>""&amp;'ENS Sécurité'!C2</f>
        <v>FICHE DE NON-CONFORMITÉ OU D'AMELIORATION QUALITE, SECURITE, ENVIRONNEMENT</v>
      </c>
      <c r="D2" s="110"/>
      <c r="E2" s="110"/>
      <c r="F2" s="110"/>
      <c r="G2" s="110"/>
      <c r="H2" s="110"/>
      <c r="I2" s="110"/>
      <c r="J2" s="110"/>
      <c r="K2" s="110"/>
      <c r="L2" s="110"/>
      <c r="M2" s="111"/>
      <c r="N2" s="104" t="str">
        <f>""&amp;'ENS Sécurité'!N2</f>
        <v>Qualité</v>
      </c>
      <c r="O2" s="105"/>
    </row>
    <row r="3" spans="1:15" ht="14.45" customHeight="1" x14ac:dyDescent="0.25">
      <c r="A3" s="118" t="str">
        <f>""&amp;'ENS Sécurité'!A3</f>
        <v>Date d'application :
01/10/2024</v>
      </c>
      <c r="B3" s="119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4"/>
      <c r="N3" s="104" t="str">
        <f>""&amp;'ENS Sécurité'!N3</f>
        <v>DOC-2025-00784</v>
      </c>
      <c r="O3" s="105"/>
    </row>
    <row r="4" spans="1:15" ht="22.9" customHeight="1" x14ac:dyDescent="0.25">
      <c r="A4" s="120"/>
      <c r="B4" s="121"/>
      <c r="C4" s="115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104" t="str">
        <f>""&amp;'ENS Sécurité'!N4</f>
        <v>Version : 12</v>
      </c>
      <c r="O4" s="105"/>
    </row>
    <row r="5" spans="1:15" s="1" customFormat="1" ht="12.75" customHeight="1" x14ac:dyDescent="0.2">
      <c r="A5" s="95" t="s">
        <v>8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7"/>
    </row>
    <row r="6" spans="1:15" s="9" customFormat="1" ht="18.75" customHeight="1" x14ac:dyDescent="0.25">
      <c r="A6" s="98" t="s">
        <v>9</v>
      </c>
      <c r="B6" s="99"/>
      <c r="C6" s="99"/>
      <c r="D6" s="99"/>
      <c r="E6" s="100"/>
      <c r="F6" s="100"/>
      <c r="G6" s="100"/>
      <c r="H6" s="100"/>
      <c r="I6" s="99" t="s">
        <v>10</v>
      </c>
      <c r="J6" s="99"/>
      <c r="K6" s="99"/>
      <c r="L6" s="99"/>
      <c r="M6" s="101"/>
      <c r="N6" s="101"/>
      <c r="O6" s="102"/>
    </row>
    <row r="7" spans="1:15" s="9" customFormat="1" ht="18.75" customHeight="1" x14ac:dyDescent="0.25">
      <c r="A7" s="98" t="s">
        <v>11</v>
      </c>
      <c r="B7" s="99"/>
      <c r="C7" s="99"/>
      <c r="D7" s="99"/>
      <c r="E7" s="125"/>
      <c r="F7" s="125"/>
      <c r="G7" s="125"/>
      <c r="H7" s="125"/>
      <c r="I7" s="125"/>
      <c r="J7" s="126" t="s">
        <v>12</v>
      </c>
      <c r="K7" s="126"/>
      <c r="L7" s="126"/>
      <c r="M7" s="125"/>
      <c r="N7" s="125"/>
      <c r="O7" s="127"/>
    </row>
    <row r="8" spans="1:15" s="9" customFormat="1" ht="18.75" customHeight="1" x14ac:dyDescent="0.25">
      <c r="A8" s="128" t="s">
        <v>13</v>
      </c>
      <c r="B8" s="131" t="s">
        <v>14</v>
      </c>
      <c r="C8" s="132"/>
      <c r="D8" s="132"/>
      <c r="E8" s="132"/>
      <c r="F8" s="132"/>
      <c r="G8" s="133"/>
      <c r="H8" s="133"/>
      <c r="I8" s="133"/>
      <c r="J8" s="133"/>
      <c r="K8" s="133"/>
      <c r="L8" s="35"/>
      <c r="M8" s="35"/>
      <c r="N8" s="35"/>
      <c r="O8" s="64"/>
    </row>
    <row r="9" spans="1:15" s="9" customFormat="1" ht="18.75" customHeight="1" x14ac:dyDescent="0.25">
      <c r="A9" s="129"/>
      <c r="B9" s="98" t="s">
        <v>15</v>
      </c>
      <c r="C9" s="99"/>
      <c r="D9" s="99"/>
      <c r="E9" s="99"/>
      <c r="F9" s="99"/>
      <c r="G9" s="101"/>
      <c r="H9" s="101"/>
      <c r="I9" s="101"/>
      <c r="J9" s="101"/>
      <c r="K9" s="101"/>
      <c r="O9" s="65"/>
    </row>
    <row r="10" spans="1:15" s="9" customFormat="1" ht="18.75" customHeight="1" x14ac:dyDescent="0.25">
      <c r="A10" s="129"/>
      <c r="B10" s="98" t="s">
        <v>16</v>
      </c>
      <c r="C10" s="99"/>
      <c r="D10" s="99"/>
      <c r="E10" s="99"/>
      <c r="F10" s="99"/>
      <c r="G10" s="134"/>
      <c r="H10" s="134"/>
      <c r="I10" s="134"/>
      <c r="J10" s="134"/>
      <c r="K10" s="134"/>
      <c r="O10" s="65"/>
    </row>
    <row r="11" spans="1:15" s="9" customFormat="1" ht="18.75" customHeight="1" x14ac:dyDescent="0.25">
      <c r="A11" s="129"/>
      <c r="B11" s="98" t="s">
        <v>17</v>
      </c>
      <c r="C11" s="99"/>
      <c r="D11" s="99"/>
      <c r="E11" s="99"/>
      <c r="F11" s="99"/>
      <c r="G11" s="101"/>
      <c r="H11" s="101"/>
      <c r="I11" s="101"/>
      <c r="J11" s="101"/>
      <c r="K11" s="101"/>
      <c r="O11" s="65"/>
    </row>
    <row r="12" spans="1:15" s="9" customFormat="1" ht="18.75" customHeight="1" x14ac:dyDescent="0.25">
      <c r="A12" s="129"/>
      <c r="B12" s="98" t="s">
        <v>18</v>
      </c>
      <c r="C12" s="99"/>
      <c r="D12" s="99"/>
      <c r="E12" s="99"/>
      <c r="F12" s="99"/>
      <c r="G12" s="134"/>
      <c r="H12" s="134"/>
      <c r="I12" s="134"/>
      <c r="J12" s="134"/>
      <c r="K12" s="134"/>
      <c r="O12" s="65"/>
    </row>
    <row r="13" spans="1:15" s="9" customFormat="1" ht="18.75" customHeight="1" x14ac:dyDescent="0.25">
      <c r="A13" s="129"/>
      <c r="B13" s="5"/>
      <c r="C13" s="5"/>
      <c r="D13" s="135" t="s">
        <v>19</v>
      </c>
      <c r="E13" s="135"/>
      <c r="F13" s="135"/>
      <c r="G13" s="135"/>
      <c r="H13" s="135"/>
      <c r="I13" s="122" t="s">
        <v>20</v>
      </c>
      <c r="J13" s="122"/>
      <c r="K13" s="122"/>
      <c r="L13" s="122"/>
      <c r="M13" s="122"/>
      <c r="N13" s="122"/>
      <c r="O13" s="6"/>
    </row>
    <row r="14" spans="1:15" s="9" customFormat="1" ht="18.75" customHeight="1" x14ac:dyDescent="0.25">
      <c r="A14" s="129"/>
      <c r="B14" s="5"/>
      <c r="C14" s="5"/>
      <c r="D14" s="8" t="s">
        <v>21</v>
      </c>
      <c r="E14" s="123"/>
      <c r="F14" s="123"/>
      <c r="G14" s="123"/>
      <c r="H14" s="123"/>
      <c r="I14" s="124" t="s">
        <v>22</v>
      </c>
      <c r="J14" s="124"/>
      <c r="K14" s="124"/>
      <c r="L14" s="123"/>
      <c r="M14" s="123"/>
      <c r="N14" s="123"/>
      <c r="O14" s="65"/>
    </row>
    <row r="15" spans="1:15" s="9" customFormat="1" ht="18.75" customHeight="1" x14ac:dyDescent="0.25">
      <c r="A15" s="129"/>
      <c r="B15" s="5"/>
      <c r="C15" s="5"/>
      <c r="D15" s="8" t="s">
        <v>23</v>
      </c>
      <c r="E15" s="123"/>
      <c r="F15" s="123"/>
      <c r="G15" s="123"/>
      <c r="H15" s="123"/>
      <c r="I15" s="124" t="s">
        <v>24</v>
      </c>
      <c r="J15" s="124"/>
      <c r="K15" s="124"/>
      <c r="L15" s="123"/>
      <c r="M15" s="123"/>
      <c r="N15" s="123"/>
      <c r="O15" s="65"/>
    </row>
    <row r="16" spans="1:15" s="9" customFormat="1" ht="18.75" customHeight="1" x14ac:dyDescent="0.25">
      <c r="A16" s="129"/>
      <c r="B16" s="5"/>
      <c r="C16" s="5"/>
      <c r="D16" s="8" t="s">
        <v>25</v>
      </c>
      <c r="E16" s="123"/>
      <c r="F16" s="123"/>
      <c r="G16" s="123"/>
      <c r="H16" s="123"/>
      <c r="I16" s="124" t="s">
        <v>26</v>
      </c>
      <c r="J16" s="124"/>
      <c r="K16" s="124"/>
      <c r="L16" s="123"/>
      <c r="M16" s="123"/>
      <c r="N16" s="123"/>
      <c r="O16" s="65"/>
    </row>
    <row r="17" spans="1:15" s="9" customFormat="1" ht="18.75" customHeight="1" x14ac:dyDescent="0.25">
      <c r="A17" s="129"/>
      <c r="B17" s="5"/>
      <c r="C17" s="5"/>
      <c r="D17" s="8" t="s">
        <v>27</v>
      </c>
      <c r="E17" s="123"/>
      <c r="F17" s="123"/>
      <c r="G17" s="123"/>
      <c r="H17" s="123"/>
      <c r="I17" s="124" t="s">
        <v>28</v>
      </c>
      <c r="J17" s="124"/>
      <c r="K17" s="124"/>
      <c r="L17" s="123"/>
      <c r="M17" s="123"/>
      <c r="N17" s="123"/>
      <c r="O17" s="65"/>
    </row>
    <row r="18" spans="1:15" s="9" customFormat="1" ht="18.75" customHeight="1" x14ac:dyDescent="0.25">
      <c r="A18" s="129"/>
      <c r="B18" s="5"/>
      <c r="C18" s="5"/>
      <c r="D18" s="8" t="s">
        <v>29</v>
      </c>
      <c r="E18" s="136"/>
      <c r="F18" s="123"/>
      <c r="G18" s="123"/>
      <c r="H18" s="123"/>
      <c r="I18" s="124" t="s">
        <v>30</v>
      </c>
      <c r="J18" s="124"/>
      <c r="K18" s="124"/>
      <c r="L18" s="123"/>
      <c r="M18" s="123"/>
      <c r="N18" s="123"/>
      <c r="O18" s="65"/>
    </row>
    <row r="19" spans="1:15" s="9" customFormat="1" ht="18.75" customHeight="1" x14ac:dyDescent="0.25">
      <c r="A19" s="129"/>
      <c r="B19" s="5"/>
      <c r="C19" s="5"/>
      <c r="D19" s="8" t="s">
        <v>31</v>
      </c>
      <c r="E19" s="123"/>
      <c r="F19" s="123"/>
      <c r="G19" s="123"/>
      <c r="H19" s="123"/>
      <c r="I19" s="154" t="s">
        <v>32</v>
      </c>
      <c r="J19" s="154"/>
      <c r="K19" s="154"/>
      <c r="L19" s="155"/>
      <c r="M19" s="156"/>
      <c r="N19" s="157"/>
      <c r="O19" s="65"/>
    </row>
    <row r="20" spans="1:15" s="9" customFormat="1" ht="18.75" customHeight="1" x14ac:dyDescent="0.25">
      <c r="A20" s="129"/>
      <c r="B20" s="5"/>
      <c r="C20" s="5"/>
      <c r="D20" s="8" t="s">
        <v>33</v>
      </c>
      <c r="E20" s="158"/>
      <c r="F20" s="123"/>
      <c r="G20" s="123"/>
      <c r="H20" s="123"/>
      <c r="I20" s="154" t="s">
        <v>34</v>
      </c>
      <c r="J20" s="154"/>
      <c r="K20" s="154"/>
      <c r="L20" s="155"/>
      <c r="M20" s="156"/>
      <c r="N20" s="157"/>
      <c r="O20" s="65"/>
    </row>
    <row r="21" spans="1:15" s="9" customFormat="1" ht="18.75" customHeight="1" x14ac:dyDescent="0.25">
      <c r="A21" s="130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7"/>
    </row>
    <row r="22" spans="1:15" s="1" customFormat="1" ht="18" customHeight="1" x14ac:dyDescent="0.2">
      <c r="A22" s="137" t="s">
        <v>35</v>
      </c>
      <c r="B22" s="12"/>
      <c r="C22" s="138" t="s">
        <v>36</v>
      </c>
      <c r="D22" s="138"/>
      <c r="E22" s="138"/>
      <c r="O22" s="4"/>
    </row>
    <row r="23" spans="1:15" s="1" customFormat="1" ht="5.25" customHeight="1" x14ac:dyDescent="0.2">
      <c r="A23" s="137"/>
      <c r="B23" s="12"/>
      <c r="C23" s="5"/>
      <c r="O23" s="4"/>
    </row>
    <row r="24" spans="1:15" s="1" customFormat="1" ht="12" x14ac:dyDescent="0.2">
      <c r="A24" s="137"/>
      <c r="B24" s="12"/>
      <c r="C24" s="139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1"/>
      <c r="O24" s="13"/>
    </row>
    <row r="25" spans="1:15" s="1" customFormat="1" ht="12" x14ac:dyDescent="0.2">
      <c r="A25" s="137"/>
      <c r="B25" s="12"/>
      <c r="C25" s="142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4"/>
      <c r="O25" s="13"/>
    </row>
    <row r="26" spans="1:15" s="1" customFormat="1" ht="12" x14ac:dyDescent="0.2">
      <c r="A26" s="137"/>
      <c r="B26" s="12"/>
      <c r="C26" s="142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4"/>
      <c r="O26" s="13"/>
    </row>
    <row r="27" spans="1:15" s="1" customFormat="1" ht="12" x14ac:dyDescent="0.2">
      <c r="A27" s="137"/>
      <c r="B27" s="12"/>
      <c r="C27" s="142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4"/>
      <c r="O27" s="13"/>
    </row>
    <row r="28" spans="1:15" s="1" customFormat="1" ht="12" x14ac:dyDescent="0.2">
      <c r="A28" s="137"/>
      <c r="B28" s="12"/>
      <c r="C28" s="145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7"/>
      <c r="O28" s="13"/>
    </row>
    <row r="29" spans="1:15" s="1" customFormat="1" ht="6" customHeight="1" x14ac:dyDescent="0.2">
      <c r="A29" s="137"/>
      <c r="B29" s="12"/>
      <c r="C29" s="5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3"/>
    </row>
    <row r="30" spans="1:15" s="9" customFormat="1" ht="19.5" customHeight="1" x14ac:dyDescent="0.25">
      <c r="A30" s="137"/>
      <c r="B30" s="148" t="s">
        <v>37</v>
      </c>
      <c r="C30" s="149"/>
      <c r="D30" s="149"/>
      <c r="E30" s="150"/>
      <c r="F30" s="63"/>
      <c r="G30" s="151" t="s">
        <v>38</v>
      </c>
      <c r="H30" s="151"/>
      <c r="I30" s="15"/>
      <c r="J30" s="63"/>
      <c r="K30" s="16" t="s">
        <v>39</v>
      </c>
      <c r="L30" s="16"/>
      <c r="M30" s="63"/>
      <c r="N30" s="16" t="s">
        <v>40</v>
      </c>
      <c r="O30" s="13"/>
    </row>
    <row r="31" spans="1:15" s="9" customFormat="1" ht="19.5" customHeight="1" x14ac:dyDescent="0.25">
      <c r="A31" s="137"/>
      <c r="B31" s="152" t="s">
        <v>41</v>
      </c>
      <c r="C31" s="153"/>
      <c r="D31" s="153"/>
      <c r="E31" s="153"/>
      <c r="F31" s="153"/>
      <c r="G31" s="153"/>
      <c r="H31" s="153"/>
      <c r="I31" s="153"/>
      <c r="J31" s="153"/>
      <c r="K31" s="153"/>
      <c r="L31" s="101"/>
      <c r="M31" s="101"/>
      <c r="N31" s="16"/>
      <c r="O31" s="13"/>
    </row>
    <row r="32" spans="1:15" s="1" customFormat="1" ht="5.25" customHeight="1" x14ac:dyDescent="0.2">
      <c r="A32" s="137"/>
      <c r="B32" s="17"/>
      <c r="C32" s="18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1"/>
    </row>
    <row r="33" spans="1:15" s="1" customFormat="1" ht="15.75" customHeight="1" x14ac:dyDescent="0.2">
      <c r="A33" s="128" t="s">
        <v>42</v>
      </c>
      <c r="B33" s="5"/>
      <c r="C33" s="159" t="s">
        <v>43</v>
      </c>
      <c r="D33" s="159"/>
      <c r="E33" s="159"/>
      <c r="F33" s="159"/>
      <c r="G33" s="159"/>
      <c r="H33" s="159"/>
      <c r="I33" s="159"/>
      <c r="J33" s="159"/>
      <c r="O33" s="4"/>
    </row>
    <row r="34" spans="1:15" s="1" customFormat="1" ht="5.25" customHeight="1" x14ac:dyDescent="0.2">
      <c r="A34" s="129"/>
      <c r="O34" s="4"/>
    </row>
    <row r="35" spans="1:15" s="1" customFormat="1" ht="12.75" customHeight="1" x14ac:dyDescent="0.2">
      <c r="A35" s="129"/>
      <c r="C35" s="19"/>
      <c r="D35" s="92" t="s">
        <v>44</v>
      </c>
      <c r="E35" s="93"/>
      <c r="F35" s="21"/>
      <c r="G35" s="21"/>
      <c r="H35" s="19"/>
      <c r="I35" s="160" t="s">
        <v>45</v>
      </c>
      <c r="J35" s="161"/>
      <c r="K35" s="161"/>
      <c r="L35" s="161"/>
      <c r="M35" s="20"/>
      <c r="O35" s="4"/>
    </row>
    <row r="36" spans="1:15" s="1" customFormat="1" ht="12" x14ac:dyDescent="0.2">
      <c r="A36" s="129"/>
      <c r="D36" s="20"/>
      <c r="E36" s="20"/>
      <c r="F36" s="21"/>
      <c r="G36" s="21"/>
      <c r="H36" s="20"/>
      <c r="I36" s="20"/>
      <c r="J36" s="20"/>
      <c r="K36" s="20"/>
      <c r="L36" s="20"/>
      <c r="M36" s="20"/>
      <c r="O36" s="4"/>
    </row>
    <row r="37" spans="1:15" s="1" customFormat="1" ht="12" customHeight="1" x14ac:dyDescent="0.2">
      <c r="A37" s="129"/>
      <c r="C37" s="19"/>
      <c r="D37" s="20" t="s">
        <v>46</v>
      </c>
      <c r="E37" s="20"/>
      <c r="F37" s="21"/>
      <c r="G37" s="21"/>
      <c r="H37" s="19"/>
      <c r="I37" s="160" t="s">
        <v>47</v>
      </c>
      <c r="J37" s="161"/>
      <c r="K37" s="161"/>
      <c r="L37" s="161"/>
      <c r="M37" s="20"/>
      <c r="O37" s="4"/>
    </row>
    <row r="38" spans="1:15" s="1" customFormat="1" ht="12" x14ac:dyDescent="0.2">
      <c r="A38" s="129"/>
      <c r="D38" s="20"/>
      <c r="E38" s="20"/>
      <c r="F38" s="21"/>
      <c r="G38" s="21"/>
      <c r="H38" s="20"/>
      <c r="I38" s="20"/>
      <c r="J38" s="20"/>
      <c r="K38" s="20"/>
      <c r="L38" s="134"/>
      <c r="M38" s="134"/>
      <c r="N38" s="134"/>
      <c r="O38" s="162"/>
    </row>
    <row r="39" spans="1:15" s="1" customFormat="1" ht="12" customHeight="1" x14ac:dyDescent="0.2">
      <c r="A39" s="129"/>
      <c r="C39" s="19"/>
      <c r="D39" s="22" t="s">
        <v>48</v>
      </c>
      <c r="E39" s="20"/>
      <c r="F39" s="21"/>
      <c r="G39" s="21"/>
      <c r="H39" s="19"/>
      <c r="I39" s="160" t="s">
        <v>34</v>
      </c>
      <c r="J39" s="161"/>
      <c r="K39" s="161"/>
      <c r="L39" s="134"/>
      <c r="M39" s="134"/>
      <c r="N39" s="134"/>
      <c r="O39" s="162"/>
    </row>
    <row r="40" spans="1:15" s="1" customFormat="1" ht="13.5" customHeight="1" x14ac:dyDescent="0.2">
      <c r="A40" s="129"/>
      <c r="D40" s="20"/>
      <c r="E40" s="20"/>
      <c r="F40" s="21"/>
      <c r="G40" s="21"/>
      <c r="H40" s="20"/>
      <c r="I40" s="23"/>
      <c r="J40" s="23"/>
      <c r="K40" s="23"/>
      <c r="L40" s="134"/>
      <c r="M40" s="134"/>
      <c r="N40" s="134"/>
      <c r="O40" s="162"/>
    </row>
    <row r="41" spans="1:15" s="1" customFormat="1" ht="12" x14ac:dyDescent="0.2">
      <c r="A41" s="129"/>
      <c r="B41" s="163" t="s">
        <v>49</v>
      </c>
      <c r="C41" s="164"/>
      <c r="D41" s="164"/>
      <c r="E41" s="165"/>
      <c r="F41" s="156"/>
      <c r="G41" s="156"/>
      <c r="H41" s="156"/>
      <c r="I41" s="156"/>
      <c r="J41" s="24"/>
      <c r="K41" s="25" t="s">
        <v>50</v>
      </c>
      <c r="L41" s="156"/>
      <c r="M41" s="156"/>
      <c r="N41" s="156"/>
      <c r="O41" s="26"/>
    </row>
    <row r="42" spans="1:15" s="1" customFormat="1" ht="14.25" customHeight="1" x14ac:dyDescent="0.2">
      <c r="A42" s="128" t="s">
        <v>51</v>
      </c>
      <c r="B42" s="166" t="s">
        <v>52</v>
      </c>
      <c r="C42" s="166"/>
      <c r="D42" s="166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</row>
    <row r="43" spans="1:15" s="1" customFormat="1" ht="23.25" customHeight="1" x14ac:dyDescent="0.2">
      <c r="A43" s="129"/>
      <c r="B43" s="167" t="s">
        <v>53</v>
      </c>
      <c r="C43" s="167"/>
      <c r="D43" s="167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9"/>
    </row>
    <row r="44" spans="1:15" s="1" customFormat="1" ht="23.25" customHeight="1" x14ac:dyDescent="0.2">
      <c r="A44" s="129"/>
      <c r="B44" s="167" t="s">
        <v>54</v>
      </c>
      <c r="C44" s="167"/>
      <c r="D44" s="167"/>
      <c r="E44" s="170"/>
      <c r="F44" s="170"/>
      <c r="G44" s="170"/>
      <c r="H44" s="170"/>
      <c r="I44" s="170"/>
      <c r="J44" s="170"/>
      <c r="K44" s="170"/>
      <c r="L44" s="170"/>
      <c r="M44" s="170"/>
      <c r="N44" s="170"/>
      <c r="O44" s="171"/>
    </row>
    <row r="45" spans="1:15" s="1" customFormat="1" ht="23.25" customHeight="1" x14ac:dyDescent="0.2">
      <c r="A45" s="129"/>
      <c r="B45" s="167" t="s">
        <v>55</v>
      </c>
      <c r="C45" s="167"/>
      <c r="D45" s="167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3"/>
    </row>
    <row r="46" spans="1:15" s="1" customFormat="1" ht="23.25" customHeight="1" x14ac:dyDescent="0.2">
      <c r="A46" s="129"/>
      <c r="B46" s="167" t="s">
        <v>56</v>
      </c>
      <c r="C46" s="167"/>
      <c r="D46" s="167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1"/>
    </row>
    <row r="47" spans="1:15" s="1" customFormat="1" ht="23.25" customHeight="1" x14ac:dyDescent="0.2">
      <c r="A47" s="129"/>
      <c r="B47" s="167" t="s">
        <v>57</v>
      </c>
      <c r="C47" s="167"/>
      <c r="D47" s="167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1"/>
    </row>
    <row r="48" spans="1:15" s="1" customFormat="1" ht="8.25" customHeight="1" x14ac:dyDescent="0.2">
      <c r="A48" s="130"/>
      <c r="B48" s="23"/>
      <c r="C48" s="23"/>
      <c r="D48" s="23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8"/>
    </row>
    <row r="49" spans="1:15" s="1" customFormat="1" ht="8.25" customHeight="1" x14ac:dyDescent="0.2">
      <c r="A49" s="174" t="s">
        <v>58</v>
      </c>
      <c r="B49" s="29"/>
      <c r="C49" s="29"/>
      <c r="D49" s="29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1"/>
    </row>
    <row r="50" spans="1:15" s="1" customFormat="1" ht="12" x14ac:dyDescent="0.2">
      <c r="A50" s="175"/>
      <c r="C50" s="177"/>
      <c r="D50" s="178"/>
      <c r="E50" s="179" t="s">
        <v>59</v>
      </c>
      <c r="F50" s="179"/>
      <c r="G50" s="179"/>
      <c r="H50" s="179"/>
      <c r="I50" s="179"/>
      <c r="J50" s="179" t="s">
        <v>60</v>
      </c>
      <c r="K50" s="179"/>
      <c r="L50" s="179" t="s">
        <v>61</v>
      </c>
      <c r="M50" s="179"/>
      <c r="N50" s="19" t="s">
        <v>62</v>
      </c>
      <c r="O50" s="33"/>
    </row>
    <row r="51" spans="1:15" s="1" customFormat="1" ht="76.5" customHeight="1" x14ac:dyDescent="0.2">
      <c r="A51" s="176"/>
      <c r="C51" s="179" t="s">
        <v>63</v>
      </c>
      <c r="D51" s="179"/>
      <c r="E51" s="180"/>
      <c r="F51" s="180"/>
      <c r="G51" s="180"/>
      <c r="H51" s="180"/>
      <c r="I51" s="180"/>
      <c r="J51" s="181"/>
      <c r="K51" s="180"/>
      <c r="L51" s="182"/>
      <c r="M51" s="182"/>
      <c r="N51" s="34"/>
      <c r="O51" s="33"/>
    </row>
    <row r="52" spans="1:15" s="1" customFormat="1" ht="76.5" customHeight="1" x14ac:dyDescent="0.2">
      <c r="A52" s="32" t="s">
        <v>64</v>
      </c>
      <c r="C52" s="189" t="s">
        <v>65</v>
      </c>
      <c r="D52" s="189"/>
      <c r="E52" s="190"/>
      <c r="F52" s="190"/>
      <c r="G52" s="190"/>
      <c r="H52" s="190"/>
      <c r="I52" s="190"/>
      <c r="J52" s="190"/>
      <c r="K52" s="190"/>
      <c r="L52" s="182"/>
      <c r="M52" s="182"/>
      <c r="N52" s="34"/>
      <c r="O52" s="33"/>
    </row>
    <row r="53" spans="1:15" s="1" customFormat="1" ht="12.75" customHeight="1" x14ac:dyDescent="0.2">
      <c r="A53" s="191" t="s">
        <v>66</v>
      </c>
      <c r="B53" s="159"/>
      <c r="C53" s="159"/>
      <c r="D53" s="159"/>
      <c r="E53" s="159"/>
      <c r="F53" s="2"/>
      <c r="G53" s="2"/>
      <c r="H53" s="2"/>
      <c r="I53" s="2"/>
      <c r="J53" s="2"/>
      <c r="K53" s="35"/>
      <c r="L53" s="2"/>
      <c r="M53" s="2"/>
      <c r="N53" s="2"/>
      <c r="O53" s="3"/>
    </row>
    <row r="54" spans="1:15" s="1" customFormat="1" ht="21" customHeight="1" x14ac:dyDescent="0.2">
      <c r="A54" s="36"/>
      <c r="B54" s="185" t="s">
        <v>67</v>
      </c>
      <c r="C54" s="185"/>
      <c r="D54" s="185"/>
      <c r="E54" s="186"/>
      <c r="F54" s="187"/>
      <c r="G54" s="187"/>
      <c r="H54" s="187"/>
      <c r="I54" s="187"/>
      <c r="J54" s="185" t="s">
        <v>68</v>
      </c>
      <c r="K54" s="185"/>
      <c r="L54" s="185"/>
      <c r="M54" s="187"/>
      <c r="N54" s="187"/>
      <c r="O54" s="188"/>
    </row>
    <row r="55" spans="1:15" s="1" customFormat="1" ht="12" outlineLevel="1" x14ac:dyDescent="0.2">
      <c r="A55" s="37"/>
      <c r="B55" s="9"/>
      <c r="C55" s="9"/>
      <c r="D55" s="9"/>
      <c r="J55" s="9"/>
      <c r="K55" s="9"/>
    </row>
    <row r="56" spans="1:15" s="1" customFormat="1" ht="12" hidden="1" outlineLevel="1" x14ac:dyDescent="0.2">
      <c r="A56" s="37"/>
    </row>
    <row r="57" spans="1:15" s="1" customFormat="1" ht="12" hidden="1" outlineLevel="1" x14ac:dyDescent="0.2">
      <c r="A57" s="37"/>
    </row>
    <row r="58" spans="1:15" s="1" customFormat="1" ht="41.25" hidden="1" customHeight="1" outlineLevel="1" x14ac:dyDescent="0.2">
      <c r="A58" s="37"/>
      <c r="D58" s="38" t="s">
        <v>69</v>
      </c>
      <c r="E58" s="7" t="str">
        <f>K58&amp;" "&amp;K59&amp;" "&amp;K60</f>
        <v xml:space="preserve">  </v>
      </c>
      <c r="F58" s="9"/>
      <c r="G58" s="39" t="s">
        <v>70</v>
      </c>
      <c r="H58" s="39" t="s">
        <v>71</v>
      </c>
      <c r="I58" s="39" t="s">
        <v>72</v>
      </c>
      <c r="J58" s="9"/>
      <c r="K58" s="40" t="str">
        <f>IF(G59="1","ENS Qualité","")</f>
        <v/>
      </c>
    </row>
    <row r="59" spans="1:15" s="1" customFormat="1" ht="28.5" hidden="1" customHeight="1" outlineLevel="1" x14ac:dyDescent="0.2">
      <c r="A59" s="37"/>
      <c r="G59" s="8" t="str">
        <f>IF(ISBLANK(E6),"","1")</f>
        <v/>
      </c>
      <c r="H59" s="8" t="str">
        <f>IF(ISBLANK('ENS Sécurité'!E6),"","2")</f>
        <v/>
      </c>
      <c r="I59" s="8" t="str">
        <f>IF(ISBLANK('ENS Environnement Energie'!E6),"","3")</f>
        <v/>
      </c>
      <c r="J59" s="9"/>
      <c r="K59" s="40" t="str">
        <f>IF(OR(H59="2",H60="2",H61="2",H62="2",H63="2",H64="2"),"ENS Sécurité","")</f>
        <v/>
      </c>
    </row>
    <row r="60" spans="1:15" s="1" customFormat="1" ht="38.25" hidden="1" customHeight="1" outlineLevel="1" x14ac:dyDescent="0.2">
      <c r="A60" s="183" t="s">
        <v>73</v>
      </c>
      <c r="B60" s="7" t="str">
        <f>IF(ISBLANK(F30),"","Mineure")</f>
        <v/>
      </c>
      <c r="C60" s="7" t="str">
        <f>B60&amp;B61&amp;B62</f>
        <v/>
      </c>
      <c r="G60" s="9"/>
      <c r="H60" s="8" t="str">
        <f>IF(ISBLANK('ENS Sécurité'!C12),"","2")</f>
        <v/>
      </c>
      <c r="I60" s="8" t="str">
        <f>IF(ISBLANK('ENS Environnement Energie'!C12),"","3")</f>
        <v/>
      </c>
      <c r="J60" s="9"/>
      <c r="K60" s="40" t="str">
        <f>IF(OR(I59="3",I60="3",I61="3",I62="3",I63="3",I64="3",I64="2"),"ENS Environnement/Energie","")</f>
        <v/>
      </c>
    </row>
    <row r="61" spans="1:15" s="1" customFormat="1" ht="12" hidden="1" outlineLevel="1" x14ac:dyDescent="0.2">
      <c r="A61" s="183"/>
      <c r="B61" s="7" t="str">
        <f>IF(ISBLANK(J30),"","Majeure")</f>
        <v/>
      </c>
      <c r="H61" s="8" t="str">
        <f>IF(ISBLANK('ENS Sécurité'!C14),"","2")</f>
        <v/>
      </c>
      <c r="I61" s="8" t="str">
        <f>IF(ISBLANK('ENS Environnement Energie'!C14),"","3")</f>
        <v/>
      </c>
    </row>
    <row r="62" spans="1:15" s="1" customFormat="1" ht="12" hidden="1" outlineLevel="1" x14ac:dyDescent="0.2">
      <c r="A62" s="183"/>
      <c r="B62" s="7" t="str">
        <f>IF(ISBLANK(M30),"","Critique")</f>
        <v/>
      </c>
      <c r="H62" s="8" t="str">
        <f>IF(ISBLANK('ENS Sécurité'!L9),"","2")</f>
        <v/>
      </c>
      <c r="I62" s="8" t="str">
        <f>IF(ISBLANK('ENS Environnement Energie'!L10),"","3")</f>
        <v/>
      </c>
    </row>
    <row r="63" spans="1:15" s="1" customFormat="1" ht="12" hidden="1" outlineLevel="1" x14ac:dyDescent="0.2">
      <c r="H63" s="8" t="str">
        <f>IF(ISBLANK('ENS Sécurité'!L12),"","2")</f>
        <v/>
      </c>
      <c r="I63" s="8" t="str">
        <f>IF(ISBLANK('ENS Environnement Energie'!L12),"","3")</f>
        <v/>
      </c>
    </row>
    <row r="64" spans="1:15" s="1" customFormat="1" ht="36" hidden="1" customHeight="1" outlineLevel="1" x14ac:dyDescent="0.2">
      <c r="A64" s="183" t="s">
        <v>74</v>
      </c>
      <c r="B64" s="7" t="str">
        <f>IF(ISBLANK(C35),"","Blocage")</f>
        <v/>
      </c>
      <c r="C64" s="7" t="str">
        <f>B64&amp;"  "&amp;B65&amp;"  "&amp;B66&amp;"  "&amp;B67&amp;"  "&amp;B68&amp;"  "&amp;B69</f>
        <v xml:space="preserve">          </v>
      </c>
      <c r="H64" s="8" t="str">
        <f>IF(ISBLANK('ENS Sécurité'!L15),"","2")</f>
        <v/>
      </c>
      <c r="I64" s="8"/>
    </row>
    <row r="65" spans="1:7" s="1" customFormat="1" ht="12" hidden="1" outlineLevel="1" x14ac:dyDescent="0.2">
      <c r="A65" s="183"/>
      <c r="B65" s="7" t="str">
        <f>IF(ISBLANK(C37),"","Fonte (Lons)")</f>
        <v/>
      </c>
    </row>
    <row r="66" spans="1:7" s="1" customFormat="1" ht="12" hidden="1" outlineLevel="1" x14ac:dyDescent="0.2">
      <c r="A66" s="183"/>
      <c r="B66" s="7" t="str">
        <f>IF(ISBLANK(C39),"","Alimentation animale (Biosilait)")</f>
        <v/>
      </c>
    </row>
    <row r="67" spans="1:7" s="1" customFormat="1" ht="12" hidden="1" outlineLevel="1" x14ac:dyDescent="0.2">
      <c r="A67" s="183"/>
      <c r="B67" s="7" t="str">
        <f>IF(ISBLANK(H35),"","Méthanisation")</f>
        <v/>
      </c>
    </row>
    <row r="68" spans="1:7" s="1" customFormat="1" ht="12" hidden="1" outlineLevel="1" x14ac:dyDescent="0.2">
      <c r="A68" s="183"/>
      <c r="B68" s="7" t="str">
        <f>IF(ISBLANK(H37),"","Nouvelles analyses ")</f>
        <v/>
      </c>
    </row>
    <row r="69" spans="1:7" s="1" customFormat="1" ht="12" hidden="1" outlineLevel="1" x14ac:dyDescent="0.2">
      <c r="A69" s="183"/>
      <c r="B69" s="7" t="str">
        <f>IF(ISBLANK(L38),"",L38)</f>
        <v/>
      </c>
    </row>
    <row r="70" spans="1:7" s="1" customFormat="1" ht="12" hidden="1" outlineLevel="1" x14ac:dyDescent="0.2"/>
    <row r="71" spans="1:7" s="1" customFormat="1" ht="12" hidden="1" outlineLevel="1" x14ac:dyDescent="0.2"/>
    <row r="72" spans="1:7" s="1" customFormat="1" ht="20.45" hidden="1" customHeight="1" outlineLevel="1" x14ac:dyDescent="0.2">
      <c r="A72" s="184" t="s">
        <v>75</v>
      </c>
      <c r="B72" s="167" t="str">
        <f>I14&amp;"  "&amp;L14&amp;"  "&amp;I15&amp;"  "&amp;L15&amp;"  "&amp;I16&amp;" "&amp;L16&amp;" "&amp;I17&amp;" "&amp;L17&amp;" "&amp;I18&amp;" "&amp;L18&amp;"  "&amp;I19&amp;"  "&amp;L19&amp;"  "&amp;I20&amp;"  "&amp;L20</f>
        <v xml:space="preserve">N° de lot :    N° de palette :    Code SCA/article :  Référence interne :  Date de production :   N° de bobine :    Autres (précisez) :  </v>
      </c>
      <c r="C72" s="167"/>
      <c r="D72" s="167"/>
      <c r="E72" s="167"/>
      <c r="F72" s="167"/>
      <c r="G72" s="167"/>
    </row>
    <row r="73" spans="1:7" s="1" customFormat="1" ht="12" hidden="1" outlineLevel="1" x14ac:dyDescent="0.2">
      <c r="A73" s="184"/>
      <c r="B73" s="167"/>
      <c r="C73" s="167"/>
      <c r="D73" s="167"/>
      <c r="E73" s="167"/>
      <c r="F73" s="167"/>
      <c r="G73" s="167"/>
    </row>
    <row r="74" spans="1:7" s="1" customFormat="1" ht="0.6" hidden="1" customHeight="1" outlineLevel="1" x14ac:dyDescent="0.2">
      <c r="B74" s="167"/>
      <c r="C74" s="167"/>
      <c r="D74" s="167"/>
      <c r="E74" s="167"/>
      <c r="F74" s="167"/>
      <c r="G74" s="167"/>
    </row>
    <row r="75" spans="1:7" s="1" customFormat="1" ht="12" hidden="1" outlineLevel="1" x14ac:dyDescent="0.2"/>
    <row r="76" spans="1:7" s="1" customFormat="1" ht="12" hidden="1" x14ac:dyDescent="0.2"/>
  </sheetData>
  <mergeCells count="101">
    <mergeCell ref="A64:A69"/>
    <mergeCell ref="A72:A73"/>
    <mergeCell ref="B72:G74"/>
    <mergeCell ref="B54:D54"/>
    <mergeCell ref="E54:I54"/>
    <mergeCell ref="J54:L54"/>
    <mergeCell ref="M54:O54"/>
    <mergeCell ref="A60:A62"/>
    <mergeCell ref="C52:D52"/>
    <mergeCell ref="E52:I52"/>
    <mergeCell ref="J52:K52"/>
    <mergeCell ref="L52:M52"/>
    <mergeCell ref="A53:E53"/>
    <mergeCell ref="A49:A51"/>
    <mergeCell ref="C50:D50"/>
    <mergeCell ref="E50:I50"/>
    <mergeCell ref="J50:K50"/>
    <mergeCell ref="L50:M50"/>
    <mergeCell ref="C51:D51"/>
    <mergeCell ref="E51:I51"/>
    <mergeCell ref="J51:K51"/>
    <mergeCell ref="L51:M51"/>
    <mergeCell ref="A42:A48"/>
    <mergeCell ref="B42:D42"/>
    <mergeCell ref="B43:D43"/>
    <mergeCell ref="E43:O43"/>
    <mergeCell ref="B44:D44"/>
    <mergeCell ref="E44:O44"/>
    <mergeCell ref="B45:D45"/>
    <mergeCell ref="E45:O45"/>
    <mergeCell ref="B46:D46"/>
    <mergeCell ref="E46:O46"/>
    <mergeCell ref="B47:D47"/>
    <mergeCell ref="E47:O47"/>
    <mergeCell ref="A33:A41"/>
    <mergeCell ref="C33:J33"/>
    <mergeCell ref="I35:L35"/>
    <mergeCell ref="I37:L37"/>
    <mergeCell ref="L38:O40"/>
    <mergeCell ref="I39:K39"/>
    <mergeCell ref="B41:D41"/>
    <mergeCell ref="E41:I41"/>
    <mergeCell ref="L41:N41"/>
    <mergeCell ref="I18:K18"/>
    <mergeCell ref="L18:N18"/>
    <mergeCell ref="E15:H15"/>
    <mergeCell ref="I15:K15"/>
    <mergeCell ref="L15:N15"/>
    <mergeCell ref="E16:H16"/>
    <mergeCell ref="I16:K16"/>
    <mergeCell ref="L16:N16"/>
    <mergeCell ref="A22:A32"/>
    <mergeCell ref="C22:E22"/>
    <mergeCell ref="C24:N28"/>
    <mergeCell ref="B30:E30"/>
    <mergeCell ref="G30:H30"/>
    <mergeCell ref="B31:K31"/>
    <mergeCell ref="L31:M31"/>
    <mergeCell ref="E19:H19"/>
    <mergeCell ref="I19:K19"/>
    <mergeCell ref="L19:N19"/>
    <mergeCell ref="E20:H20"/>
    <mergeCell ref="I20:K20"/>
    <mergeCell ref="L20:N20"/>
    <mergeCell ref="I13:N13"/>
    <mergeCell ref="E14:H14"/>
    <mergeCell ref="I14:K14"/>
    <mergeCell ref="L14:N14"/>
    <mergeCell ref="A7:D7"/>
    <mergeCell ref="E7:I7"/>
    <mergeCell ref="J7:L7"/>
    <mergeCell ref="M7:O7"/>
    <mergeCell ref="A8:A21"/>
    <mergeCell ref="B8:F8"/>
    <mergeCell ref="G8:K8"/>
    <mergeCell ref="B9:F9"/>
    <mergeCell ref="G9:K9"/>
    <mergeCell ref="B10:F10"/>
    <mergeCell ref="G10:K10"/>
    <mergeCell ref="B11:F11"/>
    <mergeCell ref="G11:K11"/>
    <mergeCell ref="B12:F12"/>
    <mergeCell ref="G12:K12"/>
    <mergeCell ref="D13:H13"/>
    <mergeCell ref="E17:H17"/>
    <mergeCell ref="I17:K17"/>
    <mergeCell ref="L17:N17"/>
    <mergeCell ref="E18:H18"/>
    <mergeCell ref="A5:O5"/>
    <mergeCell ref="A6:D6"/>
    <mergeCell ref="E6:H6"/>
    <mergeCell ref="I6:L6"/>
    <mergeCell ref="M6:O6"/>
    <mergeCell ref="N1:O1"/>
    <mergeCell ref="N4:O4"/>
    <mergeCell ref="C1:M1"/>
    <mergeCell ref="C2:M4"/>
    <mergeCell ref="A1:B2"/>
    <mergeCell ref="A3:B4"/>
    <mergeCell ref="N2:O2"/>
    <mergeCell ref="N3:O3"/>
  </mergeCells>
  <dataValidations count="2">
    <dataValidation type="list" allowBlank="1" showInputMessage="1" showErrorMessage="1" sqref="G9:K9" xr:uid="{00000000-0002-0000-0000-000000000000}">
      <formula1>Choix1</formula1>
    </dataValidation>
    <dataValidation type="list" allowBlank="1" showInputMessage="1" showErrorMessage="1" sqref="G11:K11" xr:uid="{00000000-0002-0000-0000-000001000000}">
      <formula1>_Choix2</formula1>
    </dataValidation>
  </dataValidations>
  <pageMargins left="0.70866141732283505" right="0.70866141732283505" top="0.39370078740157499" bottom="0.74803149606299202" header="0.31496062992126" footer="0.31496062992126"/>
  <pageSetup paperSize="9" scale="75" orientation="portrait" r:id="rId1"/>
  <headerFooter>
    <oddFooter>&amp;R&amp;P/&amp;N</oddFooter>
    <firstFooter>&amp;C-&amp;R&amp;P/&amp;N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Line="0" autoPict="0" macro="[0]!ExportdesDonnéesQualite">
                <anchor moveWithCells="1" sizeWithCells="1">
                  <from>
                    <xdr:col>11</xdr:col>
                    <xdr:colOff>123825</xdr:colOff>
                    <xdr:row>7</xdr:row>
                    <xdr:rowOff>104775</xdr:rowOff>
                  </from>
                  <to>
                    <xdr:col>13</xdr:col>
                    <xdr:colOff>304800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2000000}">
          <x14:formula1>
            <xm:f>BDD!$E$3:$E$28</xm:f>
          </x14:formula1>
          <xm:sqref>E7:I7 M7:O7</xm:sqref>
        </x14:dataValidation>
        <x14:dataValidation type="list" allowBlank="1" showInputMessage="1" showErrorMessage="1" xr:uid="{00000000-0002-0000-0000-000003000000}">
          <x14:formula1>
            <xm:f>BDD!$H$3:$H$10</xm:f>
          </x14:formula1>
          <xm:sqref>G8:K8</xm:sqref>
        </x14:dataValidation>
        <x14:dataValidation type="list" allowBlank="1" showInputMessage="1" showErrorMessage="1" xr:uid="{00000000-0002-0000-0000-000004000000}">
          <x14:formula1>
            <xm:f>BDD!$H$26:$H$31</xm:f>
          </x14:formula1>
          <xm:sqref>G10:K10</xm:sqref>
        </x14:dataValidation>
        <x14:dataValidation type="list" allowBlank="1" showInputMessage="1" showErrorMessage="1" xr:uid="{00000000-0002-0000-0000-000005000000}">
          <x14:formula1>
            <xm:f>BDD!$I$25:$I$26</xm:f>
          </x14:formula1>
          <xm:sqref>L31:M31</xm:sqref>
        </x14:dataValidation>
        <x14:dataValidation type="list" allowBlank="1" showInputMessage="1" showErrorMessage="1" xr:uid="{00000000-0002-0000-0000-000006000000}">
          <x14:formula1>
            <xm:f>BDD!$I$28:$I$29</xm:f>
          </x14:formula1>
          <xm:sqref>N51:N52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O47"/>
  <sheetViews>
    <sheetView view="pageBreakPreview" topLeftCell="A23" zoomScale="115" zoomScaleNormal="100" zoomScaleSheetLayoutView="115" workbookViewId="0">
      <selection activeCell="M35" sqref="M35:O35"/>
    </sheetView>
  </sheetViews>
  <sheetFormatPr baseColWidth="10" defaultColWidth="11.42578125" defaultRowHeight="15" x14ac:dyDescent="0.25"/>
  <cols>
    <col min="1" max="1" width="10.85546875" customWidth="1"/>
    <col min="2" max="2" width="13.42578125" customWidth="1"/>
    <col min="3" max="3" width="3" customWidth="1"/>
    <col min="6" max="6" width="3.7109375" customWidth="1"/>
    <col min="7" max="7" width="4" customWidth="1"/>
    <col min="8" max="8" width="5.140625" customWidth="1"/>
    <col min="9" max="9" width="8.7109375" customWidth="1"/>
    <col min="10" max="10" width="3.28515625" customWidth="1"/>
    <col min="11" max="11" width="11.5703125" customWidth="1"/>
    <col min="12" max="12" width="3.5703125" customWidth="1"/>
    <col min="14" max="14" width="14.42578125" customWidth="1"/>
    <col min="15" max="15" width="10.7109375" customWidth="1"/>
  </cols>
  <sheetData>
    <row r="1" spans="1:15" ht="14.45" customHeight="1" x14ac:dyDescent="0.25">
      <c r="A1" s="118" t="s">
        <v>2</v>
      </c>
      <c r="B1" s="119"/>
      <c r="C1" s="106" t="s">
        <v>6</v>
      </c>
      <c r="D1" s="107"/>
      <c r="E1" s="107"/>
      <c r="F1" s="107"/>
      <c r="G1" s="107"/>
      <c r="H1" s="107"/>
      <c r="I1" s="107"/>
      <c r="J1" s="107"/>
      <c r="K1" s="107"/>
      <c r="L1" s="107"/>
      <c r="M1" s="108"/>
      <c r="N1" s="103" t="s">
        <v>4</v>
      </c>
      <c r="O1" s="103"/>
    </row>
    <row r="2" spans="1:15" x14ac:dyDescent="0.25">
      <c r="A2" s="120"/>
      <c r="B2" s="121"/>
      <c r="C2" s="109" t="s">
        <v>5</v>
      </c>
      <c r="D2" s="110"/>
      <c r="E2" s="110"/>
      <c r="F2" s="110"/>
      <c r="G2" s="110"/>
      <c r="H2" s="110"/>
      <c r="I2" s="110"/>
      <c r="J2" s="110"/>
      <c r="K2" s="110"/>
      <c r="L2" s="110"/>
      <c r="M2" s="111"/>
      <c r="N2" s="104" t="s">
        <v>0</v>
      </c>
      <c r="O2" s="105"/>
    </row>
    <row r="3" spans="1:15" ht="14.45" customHeight="1" x14ac:dyDescent="0.25">
      <c r="A3" s="118" t="s">
        <v>1</v>
      </c>
      <c r="B3" s="119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4"/>
      <c r="N3" s="104" t="s">
        <v>3</v>
      </c>
      <c r="O3" s="105"/>
    </row>
    <row r="4" spans="1:15" ht="15.6" customHeight="1" x14ac:dyDescent="0.25">
      <c r="A4" s="120"/>
      <c r="B4" s="121"/>
      <c r="C4" s="115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104" t="s">
        <v>7</v>
      </c>
      <c r="O4" s="105"/>
    </row>
    <row r="5" spans="1:15" s="1" customFormat="1" ht="21" customHeight="1" x14ac:dyDescent="0.2">
      <c r="A5" s="223" t="s">
        <v>313</v>
      </c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5"/>
    </row>
    <row r="6" spans="1:15" s="1" customFormat="1" ht="16.149999999999999" customHeight="1" x14ac:dyDescent="0.2">
      <c r="A6" s="98" t="s">
        <v>314</v>
      </c>
      <c r="B6" s="99"/>
      <c r="C6" s="99"/>
      <c r="D6" s="99"/>
      <c r="E6" s="226"/>
      <c r="F6" s="226"/>
      <c r="G6" s="226"/>
      <c r="H6" s="226"/>
      <c r="I6" s="167" t="s">
        <v>315</v>
      </c>
      <c r="J6" s="167"/>
      <c r="K6" s="167"/>
      <c r="L6" s="167"/>
      <c r="M6" s="227"/>
      <c r="N6" s="227"/>
      <c r="O6" s="228"/>
    </row>
    <row r="7" spans="1:15" s="1" customFormat="1" ht="16.149999999999999" customHeight="1" x14ac:dyDescent="0.2">
      <c r="A7" s="98" t="s">
        <v>316</v>
      </c>
      <c r="B7" s="99"/>
      <c r="C7" s="99"/>
      <c r="D7" s="99"/>
      <c r="E7" s="134"/>
      <c r="F7" s="134"/>
      <c r="G7" s="134"/>
      <c r="H7" s="134"/>
      <c r="I7" s="15"/>
      <c r="J7" s="15"/>
      <c r="K7" s="99" t="str">
        <f>IF(E7="Fabrication PPC","Poste :",IF(E7="Affinage PPC","Poste :",""))</f>
        <v/>
      </c>
      <c r="L7" s="99"/>
      <c r="M7" s="161"/>
      <c r="N7" s="161"/>
      <c r="O7" s="33"/>
    </row>
    <row r="8" spans="1:15" s="1" customFormat="1" ht="12.75" customHeight="1" x14ac:dyDescent="0.2">
      <c r="A8" s="128" t="s">
        <v>13</v>
      </c>
      <c r="B8" s="35"/>
      <c r="C8" s="35"/>
      <c r="D8" s="35"/>
      <c r="E8" s="35"/>
      <c r="F8" s="35"/>
      <c r="G8" s="199" t="s">
        <v>317</v>
      </c>
      <c r="H8" s="199"/>
      <c r="I8" s="199"/>
      <c r="J8" s="199"/>
      <c r="K8" s="199"/>
      <c r="L8" s="2"/>
      <c r="M8" s="2"/>
      <c r="N8" s="2"/>
      <c r="O8" s="3"/>
    </row>
    <row r="9" spans="1:15" s="1" customFormat="1" ht="12" customHeight="1" x14ac:dyDescent="0.2">
      <c r="A9" s="129"/>
      <c r="C9" s="19"/>
      <c r="D9" s="215" t="s">
        <v>318</v>
      </c>
      <c r="E9" s="216"/>
      <c r="F9" s="69"/>
      <c r="G9" s="69"/>
      <c r="H9" s="69"/>
      <c r="I9" s="69"/>
      <c r="J9" s="9"/>
      <c r="K9" s="9"/>
      <c r="L9" s="19"/>
      <c r="M9" s="70" t="s">
        <v>240</v>
      </c>
      <c r="N9" s="69"/>
      <c r="O9" s="71"/>
    </row>
    <row r="10" spans="1:15" s="1" customFormat="1" ht="12" customHeight="1" x14ac:dyDescent="0.2">
      <c r="A10" s="129"/>
      <c r="C10" s="216"/>
      <c r="D10" s="216"/>
      <c r="E10" s="216"/>
      <c r="F10" s="216"/>
      <c r="G10" s="216"/>
      <c r="H10" s="216"/>
      <c r="I10" s="216"/>
      <c r="J10" s="216"/>
      <c r="K10" s="9"/>
      <c r="L10" s="23"/>
      <c r="M10" s="69"/>
      <c r="N10" s="69"/>
      <c r="O10" s="71"/>
    </row>
    <row r="11" spans="1:15" s="1" customFormat="1" ht="12" customHeight="1" x14ac:dyDescent="0.2">
      <c r="A11" s="129"/>
      <c r="B11" s="9"/>
      <c r="C11" s="9"/>
      <c r="D11" s="9"/>
      <c r="E11" s="9"/>
      <c r="F11" s="9"/>
      <c r="G11" s="9"/>
      <c r="H11" s="9"/>
      <c r="I11" s="9"/>
      <c r="J11" s="9"/>
      <c r="K11" s="9"/>
      <c r="L11" s="23"/>
      <c r="O11" s="4"/>
    </row>
    <row r="12" spans="1:15" s="1" customFormat="1" ht="12" x14ac:dyDescent="0.2">
      <c r="A12" s="129"/>
      <c r="B12" s="5"/>
      <c r="C12" s="19"/>
      <c r="D12" s="161" t="s">
        <v>319</v>
      </c>
      <c r="E12" s="161"/>
      <c r="F12" s="161"/>
      <c r="G12" s="161"/>
      <c r="H12" s="72"/>
      <c r="I12" s="72"/>
      <c r="J12" s="72"/>
      <c r="K12" s="73"/>
      <c r="L12" s="74"/>
      <c r="M12" s="217" t="s">
        <v>34</v>
      </c>
      <c r="N12" s="217"/>
      <c r="O12" s="218"/>
    </row>
    <row r="13" spans="1:15" s="1" customFormat="1" ht="14.25" customHeight="1" x14ac:dyDescent="0.2">
      <c r="A13" s="129"/>
      <c r="B13" s="5"/>
      <c r="C13" s="75"/>
      <c r="I13" s="9"/>
      <c r="J13" s="9"/>
      <c r="K13" s="9"/>
      <c r="L13" s="23"/>
      <c r="M13" s="134"/>
      <c r="N13" s="134"/>
      <c r="O13" s="162"/>
    </row>
    <row r="14" spans="1:15" s="1" customFormat="1" ht="14.25" customHeight="1" x14ac:dyDescent="0.2">
      <c r="A14" s="129"/>
      <c r="B14" s="5"/>
      <c r="C14" s="19"/>
      <c r="D14" s="160" t="s">
        <v>320</v>
      </c>
      <c r="E14" s="161"/>
      <c r="F14" s="9"/>
      <c r="G14" s="9"/>
      <c r="H14" s="9"/>
      <c r="L14" s="23"/>
      <c r="M14" s="134"/>
      <c r="N14" s="134"/>
      <c r="O14" s="162"/>
    </row>
    <row r="15" spans="1:15" s="1" customFormat="1" ht="12" x14ac:dyDescent="0.2">
      <c r="A15" s="129"/>
      <c r="B15" s="5"/>
      <c r="C15" s="75"/>
      <c r="L15" s="74"/>
      <c r="M15" s="161" t="s">
        <v>321</v>
      </c>
      <c r="N15" s="161"/>
      <c r="O15" s="219"/>
    </row>
    <row r="16" spans="1:15" s="1" customFormat="1" ht="15" customHeight="1" x14ac:dyDescent="0.2">
      <c r="A16" s="130"/>
      <c r="B16" s="18"/>
      <c r="C16" s="41"/>
      <c r="D16" s="220"/>
      <c r="E16" s="220"/>
      <c r="F16" s="220"/>
      <c r="G16" s="220"/>
      <c r="H16" s="220"/>
      <c r="I16" s="10"/>
      <c r="J16" s="10"/>
      <c r="K16" s="10"/>
      <c r="L16" s="41"/>
      <c r="M16" s="221"/>
      <c r="N16" s="221"/>
      <c r="O16" s="222"/>
    </row>
    <row r="17" spans="1:15" s="1" customFormat="1" ht="12" x14ac:dyDescent="0.2">
      <c r="A17" s="137" t="s">
        <v>35</v>
      </c>
      <c r="B17" s="12"/>
      <c r="C17" s="138" t="s">
        <v>322</v>
      </c>
      <c r="D17" s="138"/>
      <c r="E17" s="138"/>
      <c r="O17" s="4"/>
    </row>
    <row r="18" spans="1:15" s="1" customFormat="1" ht="5.25" customHeight="1" x14ac:dyDescent="0.2">
      <c r="A18" s="137"/>
      <c r="B18" s="12"/>
      <c r="C18" s="5"/>
      <c r="O18" s="4"/>
    </row>
    <row r="19" spans="1:15" s="1" customFormat="1" ht="12" x14ac:dyDescent="0.2">
      <c r="A19" s="137"/>
      <c r="B19" s="12"/>
      <c r="C19" s="202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4"/>
    </row>
    <row r="20" spans="1:15" s="1" customFormat="1" ht="12" x14ac:dyDescent="0.2">
      <c r="A20" s="137"/>
      <c r="B20" s="12"/>
      <c r="C20" s="205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7"/>
    </row>
    <row r="21" spans="1:15" s="1" customFormat="1" ht="12" x14ac:dyDescent="0.2">
      <c r="A21" s="137"/>
      <c r="B21" s="12"/>
      <c r="C21" s="205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7"/>
    </row>
    <row r="22" spans="1:15" s="1" customFormat="1" ht="23.25" customHeight="1" x14ac:dyDescent="0.2">
      <c r="A22" s="137"/>
      <c r="B22" s="12"/>
      <c r="C22" s="205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7"/>
    </row>
    <row r="23" spans="1:15" s="1" customFormat="1" ht="12" x14ac:dyDescent="0.2">
      <c r="A23" s="137"/>
      <c r="B23" s="12"/>
      <c r="C23" s="208"/>
      <c r="D23" s="209"/>
      <c r="E23" s="209"/>
      <c r="F23" s="209"/>
      <c r="G23" s="209"/>
      <c r="H23" s="209"/>
      <c r="I23" s="209"/>
      <c r="J23" s="209"/>
      <c r="K23" s="209"/>
      <c r="L23" s="209"/>
      <c r="M23" s="209"/>
      <c r="N23" s="209"/>
      <c r="O23" s="210"/>
    </row>
    <row r="24" spans="1:15" s="1" customFormat="1" ht="19.899999999999999" customHeight="1" x14ac:dyDescent="0.2">
      <c r="A24" s="137"/>
      <c r="B24" s="12"/>
      <c r="C24" s="211" t="s">
        <v>323</v>
      </c>
      <c r="D24" s="211"/>
      <c r="E24" s="211"/>
      <c r="F24" s="211"/>
      <c r="G24" s="211"/>
      <c r="H24" s="212"/>
      <c r="I24" s="213"/>
      <c r="J24" s="213"/>
      <c r="K24" s="213"/>
      <c r="L24" s="214"/>
      <c r="M24" s="69"/>
      <c r="N24" s="69"/>
      <c r="O24" s="69"/>
    </row>
    <row r="25" spans="1:15" s="1" customFormat="1" ht="11.45" customHeight="1" x14ac:dyDescent="0.2">
      <c r="A25" s="137"/>
      <c r="B25" s="17"/>
      <c r="C25" s="18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1"/>
    </row>
    <row r="26" spans="1:15" s="1" customFormat="1" ht="14.25" customHeight="1" x14ac:dyDescent="0.2">
      <c r="A26" s="128" t="s">
        <v>51</v>
      </c>
      <c r="B26" s="198" t="s">
        <v>324</v>
      </c>
      <c r="C26" s="199"/>
      <c r="D26" s="199"/>
      <c r="E26" s="202"/>
      <c r="F26" s="203"/>
      <c r="G26" s="203"/>
      <c r="H26" s="203"/>
      <c r="I26" s="203"/>
      <c r="J26" s="203"/>
      <c r="K26" s="203"/>
      <c r="L26" s="203"/>
      <c r="M26" s="203"/>
      <c r="N26" s="203"/>
      <c r="O26" s="204"/>
    </row>
    <row r="27" spans="1:15" s="1" customFormat="1" ht="20.100000000000001" customHeight="1" x14ac:dyDescent="0.2">
      <c r="A27" s="129"/>
      <c r="B27" s="200"/>
      <c r="C27" s="201"/>
      <c r="D27" s="201"/>
      <c r="E27" s="205"/>
      <c r="F27" s="206"/>
      <c r="G27" s="206"/>
      <c r="H27" s="206"/>
      <c r="I27" s="206"/>
      <c r="J27" s="206"/>
      <c r="K27" s="206"/>
      <c r="L27" s="206"/>
      <c r="M27" s="206"/>
      <c r="N27" s="206"/>
      <c r="O27" s="207"/>
    </row>
    <row r="28" spans="1:15" s="1" customFormat="1" ht="20.100000000000001" customHeight="1" x14ac:dyDescent="0.2">
      <c r="A28" s="129"/>
      <c r="B28" s="200"/>
      <c r="C28" s="201"/>
      <c r="D28" s="201"/>
      <c r="E28" s="208"/>
      <c r="F28" s="209"/>
      <c r="G28" s="209"/>
      <c r="H28" s="209"/>
      <c r="I28" s="209"/>
      <c r="J28" s="209"/>
      <c r="K28" s="209"/>
      <c r="L28" s="209"/>
      <c r="M28" s="209"/>
      <c r="N28" s="209"/>
      <c r="O28" s="210"/>
    </row>
    <row r="29" spans="1:15" s="1" customFormat="1" ht="7.9" customHeight="1" x14ac:dyDescent="0.2">
      <c r="A29" s="128" t="s">
        <v>325</v>
      </c>
      <c r="B29" s="29"/>
      <c r="C29" s="29"/>
      <c r="D29" s="29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31"/>
    </row>
    <row r="30" spans="1:15" s="1" customFormat="1" ht="24" customHeight="1" x14ac:dyDescent="0.2">
      <c r="A30" s="129"/>
      <c r="C30" s="177"/>
      <c r="D30" s="178"/>
      <c r="E30" s="179" t="s">
        <v>59</v>
      </c>
      <c r="F30" s="179"/>
      <c r="G30" s="179"/>
      <c r="H30" s="179"/>
      <c r="I30" s="179"/>
      <c r="J30" s="179" t="s">
        <v>60</v>
      </c>
      <c r="K30" s="179"/>
      <c r="L30" s="179" t="s">
        <v>61</v>
      </c>
      <c r="M30" s="179"/>
      <c r="N30" s="19" t="s">
        <v>326</v>
      </c>
      <c r="O30" s="19" t="s">
        <v>327</v>
      </c>
    </row>
    <row r="31" spans="1:15" s="1" customFormat="1" ht="67.150000000000006" customHeight="1" x14ac:dyDescent="0.2">
      <c r="A31" s="129"/>
      <c r="C31" s="179" t="s">
        <v>328</v>
      </c>
      <c r="D31" s="179"/>
      <c r="E31" s="180"/>
      <c r="F31" s="180"/>
      <c r="G31" s="180"/>
      <c r="H31" s="180"/>
      <c r="I31" s="180"/>
      <c r="J31" s="180"/>
      <c r="K31" s="180"/>
      <c r="L31" s="196"/>
      <c r="M31" s="196"/>
      <c r="N31" s="77"/>
      <c r="O31" s="77"/>
    </row>
    <row r="32" spans="1:15" s="1" customFormat="1" ht="67.900000000000006" customHeight="1" x14ac:dyDescent="0.2">
      <c r="A32" s="129"/>
      <c r="C32" s="179" t="s">
        <v>65</v>
      </c>
      <c r="D32" s="179"/>
      <c r="E32" s="180"/>
      <c r="F32" s="180"/>
      <c r="G32" s="180"/>
      <c r="H32" s="180"/>
      <c r="I32" s="180"/>
      <c r="J32" s="180"/>
      <c r="K32" s="180"/>
      <c r="L32" s="197"/>
      <c r="M32" s="197"/>
      <c r="N32" s="77"/>
      <c r="O32" s="77"/>
    </row>
    <row r="33" spans="1:15" s="1" customFormat="1" ht="12" customHeight="1" x14ac:dyDescent="0.2">
      <c r="A33" s="130"/>
      <c r="B33" s="10"/>
      <c r="C33" s="41"/>
      <c r="D33" s="41"/>
      <c r="E33" s="41"/>
      <c r="F33" s="41"/>
      <c r="G33" s="41"/>
      <c r="H33" s="41"/>
      <c r="I33" s="41"/>
      <c r="J33" s="66"/>
      <c r="K33" s="41"/>
      <c r="L33" s="41"/>
      <c r="M33" s="41"/>
      <c r="N33" s="66"/>
      <c r="O33" s="67"/>
    </row>
    <row r="34" spans="1:15" s="1" customFormat="1" ht="12.75" customHeight="1" x14ac:dyDescent="0.2">
      <c r="A34" s="192"/>
      <c r="B34" s="138"/>
      <c r="C34" s="138"/>
      <c r="D34" s="138"/>
      <c r="E34" s="138"/>
      <c r="J34" s="9"/>
      <c r="K34" s="9"/>
      <c r="L34" s="9"/>
      <c r="M34" s="9"/>
      <c r="N34" s="9"/>
      <c r="O34" s="4"/>
    </row>
    <row r="35" spans="1:15" s="1" customFormat="1" ht="24" customHeight="1" x14ac:dyDescent="0.2">
      <c r="A35" s="36"/>
      <c r="B35" s="185" t="s">
        <v>329</v>
      </c>
      <c r="C35" s="185"/>
      <c r="D35" s="185"/>
      <c r="E35" s="193"/>
      <c r="F35" s="194"/>
      <c r="G35" s="194"/>
      <c r="H35" s="194"/>
      <c r="I35" s="194"/>
      <c r="J35" s="185" t="s">
        <v>330</v>
      </c>
      <c r="K35" s="185"/>
      <c r="L35" s="185"/>
      <c r="M35" s="194"/>
      <c r="N35" s="194"/>
      <c r="O35" s="195"/>
    </row>
    <row r="36" spans="1:15" s="1" customFormat="1" ht="12" x14ac:dyDescent="0.2">
      <c r="A36" s="37"/>
      <c r="B36" s="9"/>
      <c r="C36" s="9"/>
      <c r="D36" s="9"/>
      <c r="J36" s="9"/>
      <c r="K36" s="9"/>
    </row>
    <row r="37" spans="1:15" s="1" customFormat="1" ht="12" hidden="1" x14ac:dyDescent="0.2">
      <c r="A37" s="37"/>
    </row>
    <row r="38" spans="1:15" s="1" customFormat="1" ht="12" hidden="1" x14ac:dyDescent="0.2">
      <c r="A38" s="37"/>
      <c r="B38" s="1" t="s">
        <v>331</v>
      </c>
    </row>
    <row r="39" spans="1:15" s="1" customFormat="1" ht="3" hidden="1" customHeight="1" x14ac:dyDescent="0.2">
      <c r="A39" s="5"/>
      <c r="B39" s="167"/>
      <c r="C39" s="167"/>
      <c r="D39" s="167"/>
      <c r="E39" s="167"/>
      <c r="F39" s="167"/>
      <c r="G39" s="167"/>
    </row>
    <row r="40" spans="1:15" s="1" customFormat="1" ht="12" hidden="1" x14ac:dyDescent="0.2">
      <c r="B40" s="167"/>
      <c r="C40" s="167"/>
      <c r="D40" s="167"/>
      <c r="E40" s="167"/>
      <c r="F40" s="167"/>
      <c r="G40" s="167"/>
    </row>
    <row r="41" spans="1:15" s="1" customFormat="1" ht="12" x14ac:dyDescent="0.2"/>
    <row r="42" spans="1:15" s="1" customFormat="1" ht="12" x14ac:dyDescent="0.2"/>
    <row r="43" spans="1:15" s="1" customFormat="1" ht="12" x14ac:dyDescent="0.2"/>
    <row r="44" spans="1:15" s="1" customFormat="1" ht="12" x14ac:dyDescent="0.2"/>
    <row r="45" spans="1:15" s="1" customFormat="1" ht="12" x14ac:dyDescent="0.2"/>
    <row r="46" spans="1:15" s="1" customFormat="1" ht="12" x14ac:dyDescent="0.2"/>
    <row r="47" spans="1:15" s="1" customFormat="1" ht="12" x14ac:dyDescent="0.2"/>
  </sheetData>
  <mergeCells count="55">
    <mergeCell ref="N1:O1"/>
    <mergeCell ref="N4:O4"/>
    <mergeCell ref="A3:B4"/>
    <mergeCell ref="A1:B2"/>
    <mergeCell ref="N2:O2"/>
    <mergeCell ref="N3:O3"/>
    <mergeCell ref="C1:M1"/>
    <mergeCell ref="C2:M4"/>
    <mergeCell ref="A5:O5"/>
    <mergeCell ref="A6:D6"/>
    <mergeCell ref="E6:H6"/>
    <mergeCell ref="I6:L6"/>
    <mergeCell ref="M6:O6"/>
    <mergeCell ref="A7:D7"/>
    <mergeCell ref="E7:H7"/>
    <mergeCell ref="K7:L7"/>
    <mergeCell ref="M7:N7"/>
    <mergeCell ref="A8:A16"/>
    <mergeCell ref="G8:K8"/>
    <mergeCell ref="D9:E9"/>
    <mergeCell ref="C10:J10"/>
    <mergeCell ref="D12:G12"/>
    <mergeCell ref="M12:O12"/>
    <mergeCell ref="M13:O14"/>
    <mergeCell ref="D14:E14"/>
    <mergeCell ref="M15:O15"/>
    <mergeCell ref="D16:H16"/>
    <mergeCell ref="M16:O16"/>
    <mergeCell ref="A26:A28"/>
    <mergeCell ref="B26:D28"/>
    <mergeCell ref="E26:O28"/>
    <mergeCell ref="A17:A25"/>
    <mergeCell ref="C17:E17"/>
    <mergeCell ref="C19:O23"/>
    <mergeCell ref="C24:G24"/>
    <mergeCell ref="H24:L24"/>
    <mergeCell ref="M35:O35"/>
    <mergeCell ref="A29:A33"/>
    <mergeCell ref="C30:D30"/>
    <mergeCell ref="E30:I30"/>
    <mergeCell ref="J30:K30"/>
    <mergeCell ref="L30:M30"/>
    <mergeCell ref="C31:D31"/>
    <mergeCell ref="E31:I31"/>
    <mergeCell ref="J31:K31"/>
    <mergeCell ref="L31:M31"/>
    <mergeCell ref="C32:D32"/>
    <mergeCell ref="E32:I32"/>
    <mergeCell ref="J32:K32"/>
    <mergeCell ref="L32:M32"/>
    <mergeCell ref="B39:G40"/>
    <mergeCell ref="A34:E34"/>
    <mergeCell ref="B35:D35"/>
    <mergeCell ref="E35:I35"/>
    <mergeCell ref="J35:L35"/>
  </mergeCells>
  <conditionalFormatting sqref="M7:N7">
    <cfRule type="expression" dxfId="1" priority="1">
      <formula>COUNTIF($K$7,"Poste :")=1</formula>
    </cfRule>
  </conditionalFormatting>
  <pageMargins left="0.70866141732283505" right="0.70866141732283505" top="0.39370078740157499" bottom="0.74803149606299202" header="0.31496062992126" footer="0.31496062992126"/>
  <pageSetup paperSize="9" scale="68" fitToHeight="0" orientation="portrait" r:id="rId1"/>
  <headerFooter>
    <oddFooter>&amp;R&amp;P/&amp;N</oddFooter>
    <firstFooter>&amp;C-&amp;R&amp;P/&amp;N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Line="0" autoPict="0" macro="[0]!ExportdesDonnéesSécurité">
                <anchor moveWithCells="1" sizeWithCells="1">
                  <from>
                    <xdr:col>7</xdr:col>
                    <xdr:colOff>161925</xdr:colOff>
                    <xdr:row>8</xdr:row>
                    <xdr:rowOff>95250</xdr:rowOff>
                  </from>
                  <to>
                    <xdr:col>10</xdr:col>
                    <xdr:colOff>247650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BDD!$E$3:$E$28</xm:f>
          </x14:formula1>
          <xm:sqref>E7:H7</xm:sqref>
        </x14:dataValidation>
        <x14:dataValidation type="list" allowBlank="1" showInputMessage="1" showErrorMessage="1" xr:uid="{00000000-0002-0000-0100-000001000000}">
          <x14:formula1>
            <xm:f>BDD!$O$3:$O$12</xm:f>
          </x14:formula1>
          <xm:sqref>H24:L24</xm:sqref>
        </x14:dataValidation>
        <x14:dataValidation type="list" allowBlank="1" showInputMessage="1" showErrorMessage="1" xr:uid="{00000000-0002-0000-0100-000002000000}">
          <x14:formula1>
            <xm:f>BDD!$M$3:$M$5</xm:f>
          </x14:formula1>
          <xm:sqref>N31:N32</xm:sqref>
        </x14:dataValidation>
        <x14:dataValidation type="list" allowBlank="1" showInputMessage="1" showErrorMessage="1" xr:uid="{00000000-0002-0000-0100-000003000000}">
          <x14:formula1>
            <xm:f>BDD!$N$3:$N$5</xm:f>
          </x14:formula1>
          <xm:sqref>O31:O32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O88"/>
  <sheetViews>
    <sheetView view="pageBreakPreview" topLeftCell="A23" zoomScale="115" zoomScaleNormal="100" zoomScaleSheetLayoutView="115" zoomScalePageLayoutView="115" workbookViewId="0">
      <selection activeCell="M46" sqref="M46:O46"/>
    </sheetView>
  </sheetViews>
  <sheetFormatPr baseColWidth="10" defaultColWidth="11.42578125" defaultRowHeight="15" x14ac:dyDescent="0.25"/>
  <cols>
    <col min="1" max="1" width="10.42578125" customWidth="1"/>
    <col min="2" max="2" width="12.5703125" customWidth="1"/>
    <col min="3" max="3" width="4.42578125" customWidth="1"/>
    <col min="5" max="5" width="9" customWidth="1"/>
    <col min="6" max="6" width="4.42578125" customWidth="1"/>
    <col min="7" max="7" width="3.7109375" customWidth="1"/>
    <col min="8" max="9" width="4.42578125" customWidth="1"/>
    <col min="10" max="10" width="4.7109375" customWidth="1"/>
    <col min="11" max="11" width="12.28515625" customWidth="1"/>
    <col min="12" max="12" width="5.140625" customWidth="1"/>
    <col min="13" max="13" width="4.28515625" customWidth="1"/>
    <col min="14" max="14" width="17" customWidth="1"/>
  </cols>
  <sheetData>
    <row r="1" spans="1:15" ht="14.45" customHeight="1" x14ac:dyDescent="0.25">
      <c r="A1" s="118" t="str">
        <f>""&amp;'ENS Sécurité'!A1</f>
        <v>Lactadoc
LF - BOUVRON</v>
      </c>
      <c r="B1" s="119"/>
      <c r="C1" s="106" t="str">
        <f>""&amp;'ENS Sécurité'!C1</f>
        <v>Feuille d'enregistrement</v>
      </c>
      <c r="D1" s="107"/>
      <c r="E1" s="107"/>
      <c r="F1" s="107"/>
      <c r="G1" s="107"/>
      <c r="H1" s="107"/>
      <c r="I1" s="107"/>
      <c r="J1" s="107"/>
      <c r="K1" s="107"/>
      <c r="L1" s="107"/>
      <c r="M1" s="108"/>
      <c r="N1" s="103" t="str">
        <f>""&amp;'ENS Sécurité'!N1</f>
        <v>FE.SQU.013</v>
      </c>
      <c r="O1" s="103"/>
    </row>
    <row r="2" spans="1:15" x14ac:dyDescent="0.25">
      <c r="A2" s="120"/>
      <c r="B2" s="121"/>
      <c r="C2" s="109" t="str">
        <f>""&amp;'ENS Sécurité'!C2</f>
        <v>FICHE DE NON-CONFORMITÉ OU D'AMELIORATION QUALITE, SECURITE, ENVIRONNEMENT</v>
      </c>
      <c r="D2" s="110"/>
      <c r="E2" s="110"/>
      <c r="F2" s="110"/>
      <c r="G2" s="110"/>
      <c r="H2" s="110"/>
      <c r="I2" s="110"/>
      <c r="J2" s="110"/>
      <c r="K2" s="110"/>
      <c r="L2" s="110"/>
      <c r="M2" s="111"/>
      <c r="N2" s="104" t="str">
        <f>""&amp;'ENS Sécurité'!N2</f>
        <v>Qualité</v>
      </c>
      <c r="O2" s="105"/>
    </row>
    <row r="3" spans="1:15" ht="14.45" customHeight="1" x14ac:dyDescent="0.25">
      <c r="A3" s="118" t="str">
        <f>""&amp;'ENS Sécurité'!A3</f>
        <v>Date d'application :
01/10/2024</v>
      </c>
      <c r="B3" s="119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4"/>
      <c r="N3" s="104" t="str">
        <f>""&amp;'ENS Sécurité'!N3</f>
        <v>DOC-2025-00784</v>
      </c>
      <c r="O3" s="105"/>
    </row>
    <row r="4" spans="1:15" ht="19.899999999999999" customHeight="1" x14ac:dyDescent="0.25">
      <c r="A4" s="120"/>
      <c r="B4" s="121"/>
      <c r="C4" s="115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104" t="str">
        <f>""&amp;'ENS Sécurité'!N4</f>
        <v>Version : 12</v>
      </c>
      <c r="O4" s="105"/>
    </row>
    <row r="5" spans="1:15" s="1" customFormat="1" ht="21" customHeight="1" x14ac:dyDescent="0.2">
      <c r="A5" s="95" t="s">
        <v>332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7"/>
    </row>
    <row r="6" spans="1:15" s="1" customFormat="1" ht="16.149999999999999" customHeight="1" x14ac:dyDescent="0.2">
      <c r="A6" s="98" t="s">
        <v>314</v>
      </c>
      <c r="B6" s="99"/>
      <c r="C6" s="99"/>
      <c r="D6" s="99"/>
      <c r="E6" s="259"/>
      <c r="F6" s="259"/>
      <c r="G6" s="259"/>
      <c r="H6" s="259"/>
      <c r="I6" s="78"/>
      <c r="J6" s="99" t="s">
        <v>315</v>
      </c>
      <c r="K6" s="99"/>
      <c r="L6" s="99"/>
      <c r="M6" s="229"/>
      <c r="N6" s="229"/>
      <c r="O6" s="258"/>
    </row>
    <row r="7" spans="1:15" s="1" customFormat="1" ht="16.149999999999999" customHeight="1" x14ac:dyDescent="0.2">
      <c r="A7" s="230" t="s">
        <v>316</v>
      </c>
      <c r="B7" s="126"/>
      <c r="C7" s="126"/>
      <c r="D7" s="126"/>
      <c r="E7" s="229"/>
      <c r="F7" s="229"/>
      <c r="G7" s="229"/>
      <c r="H7" s="229"/>
      <c r="I7" s="78"/>
      <c r="J7" s="68"/>
      <c r="K7" s="99" t="str">
        <f>IF(E7="Fabrication PPC","Poste :",IF(E7="Affinage PPC","Poste :",""))</f>
        <v/>
      </c>
      <c r="L7" s="99"/>
      <c r="M7" s="217"/>
      <c r="N7" s="217"/>
      <c r="O7" s="28"/>
    </row>
    <row r="8" spans="1:15" s="1" customFormat="1" ht="12" customHeight="1" x14ac:dyDescent="0.2">
      <c r="A8" s="128" t="s">
        <v>13</v>
      </c>
      <c r="B8" s="255" t="s">
        <v>333</v>
      </c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7"/>
    </row>
    <row r="9" spans="1:15" s="1" customFormat="1" ht="12.75" customHeight="1" x14ac:dyDescent="0.2">
      <c r="A9" s="129"/>
      <c r="B9" s="78"/>
      <c r="C9" s="78"/>
      <c r="D9" s="78"/>
      <c r="E9" s="78"/>
      <c r="F9" s="78"/>
      <c r="G9" s="78"/>
      <c r="H9" s="78"/>
      <c r="I9" s="78"/>
      <c r="J9" s="78"/>
      <c r="K9" s="9"/>
      <c r="O9" s="4"/>
    </row>
    <row r="10" spans="1:15" s="1" customFormat="1" ht="12" customHeight="1" x14ac:dyDescent="0.2">
      <c r="A10" s="129"/>
      <c r="B10" s="78"/>
      <c r="C10" s="19"/>
      <c r="D10" s="216" t="s">
        <v>334</v>
      </c>
      <c r="E10" s="216"/>
      <c r="F10" s="216"/>
      <c r="G10" s="216"/>
      <c r="H10" s="78"/>
      <c r="I10" s="78"/>
      <c r="J10" s="78"/>
      <c r="K10" s="9"/>
      <c r="L10" s="19"/>
      <c r="M10" s="161" t="s">
        <v>335</v>
      </c>
      <c r="N10" s="161"/>
      <c r="O10" s="219"/>
    </row>
    <row r="11" spans="1:15" s="1" customFormat="1" ht="12" customHeight="1" x14ac:dyDescent="0.2">
      <c r="A11" s="129"/>
      <c r="B11" s="78"/>
      <c r="D11" s="216"/>
      <c r="E11" s="216"/>
      <c r="F11" s="216"/>
      <c r="G11" s="216"/>
      <c r="H11" s="78"/>
      <c r="I11" s="78"/>
      <c r="J11" s="78"/>
      <c r="K11" s="9"/>
      <c r="L11" s="23"/>
      <c r="O11" s="4"/>
    </row>
    <row r="12" spans="1:15" s="1" customFormat="1" ht="12" customHeight="1" x14ac:dyDescent="0.2">
      <c r="A12" s="129"/>
      <c r="B12" s="78"/>
      <c r="G12" s="78"/>
      <c r="H12" s="78"/>
      <c r="I12" s="78"/>
      <c r="J12" s="78"/>
      <c r="K12" s="9"/>
      <c r="L12" s="19"/>
      <c r="M12" s="161" t="s">
        <v>336</v>
      </c>
      <c r="N12" s="161"/>
      <c r="O12" s="219"/>
    </row>
    <row r="13" spans="1:15" s="1" customFormat="1" ht="12" customHeight="1" x14ac:dyDescent="0.2">
      <c r="A13" s="129"/>
      <c r="B13" s="78"/>
      <c r="C13" s="19"/>
      <c r="D13" s="217" t="s">
        <v>337</v>
      </c>
      <c r="E13" s="217"/>
      <c r="F13" s="217"/>
      <c r="G13" s="78"/>
      <c r="H13" s="78"/>
      <c r="I13" s="78"/>
      <c r="J13" s="78"/>
      <c r="K13" s="73"/>
      <c r="L13" s="79"/>
      <c r="M13" s="161" t="s">
        <v>338</v>
      </c>
      <c r="N13" s="161"/>
      <c r="O13" s="219"/>
    </row>
    <row r="14" spans="1:15" s="1" customFormat="1" ht="14.25" customHeight="1" x14ac:dyDescent="0.2">
      <c r="A14" s="129"/>
      <c r="B14" s="78"/>
      <c r="E14" s="9"/>
      <c r="F14" s="9"/>
      <c r="G14" s="78"/>
      <c r="H14" s="78"/>
      <c r="I14" s="78"/>
      <c r="J14" s="78"/>
      <c r="K14" s="9"/>
      <c r="L14" s="23"/>
      <c r="M14" s="229"/>
      <c r="N14" s="229"/>
      <c r="O14" s="258"/>
    </row>
    <row r="15" spans="1:15" s="1" customFormat="1" ht="14.25" customHeight="1" x14ac:dyDescent="0.2">
      <c r="A15" s="129"/>
      <c r="B15" s="78"/>
      <c r="C15" s="19"/>
      <c r="D15" s="161" t="s">
        <v>339</v>
      </c>
      <c r="E15" s="161"/>
      <c r="F15" s="161"/>
      <c r="G15" s="78"/>
      <c r="H15" s="78"/>
      <c r="I15" s="78"/>
      <c r="J15" s="78"/>
      <c r="L15" s="23"/>
      <c r="M15" s="229"/>
      <c r="N15" s="229"/>
      <c r="O15" s="258"/>
    </row>
    <row r="16" spans="1:15" s="1" customFormat="1" ht="11.45" customHeight="1" x14ac:dyDescent="0.2">
      <c r="A16" s="129"/>
      <c r="B16" s="78"/>
      <c r="C16" s="78"/>
      <c r="D16" s="78"/>
      <c r="E16" s="78"/>
      <c r="F16" s="78"/>
      <c r="G16" s="78"/>
      <c r="H16" s="78"/>
      <c r="I16" s="78"/>
      <c r="J16" s="78"/>
      <c r="L16" s="23"/>
      <c r="M16" s="229"/>
      <c r="N16" s="229"/>
      <c r="O16" s="258"/>
    </row>
    <row r="17" spans="1:15" s="1" customFormat="1" ht="15" customHeight="1" x14ac:dyDescent="0.2">
      <c r="A17" s="130"/>
      <c r="B17" s="80"/>
      <c r="C17" s="80"/>
      <c r="D17" s="80"/>
      <c r="E17" s="80"/>
      <c r="F17" s="80"/>
      <c r="G17" s="80"/>
      <c r="H17" s="80"/>
      <c r="I17" s="80"/>
      <c r="J17" s="80"/>
      <c r="K17" s="10"/>
      <c r="L17" s="41"/>
      <c r="M17" s="10"/>
      <c r="N17" s="10"/>
      <c r="O17" s="11"/>
    </row>
    <row r="18" spans="1:15" s="1" customFormat="1" ht="12" x14ac:dyDescent="0.2">
      <c r="A18" s="137" t="s">
        <v>35</v>
      </c>
      <c r="B18" s="12"/>
      <c r="C18" s="138" t="s">
        <v>322</v>
      </c>
      <c r="D18" s="138"/>
      <c r="E18" s="138"/>
      <c r="O18" s="4"/>
    </row>
    <row r="19" spans="1:15" s="1" customFormat="1" ht="5.25" customHeight="1" x14ac:dyDescent="0.2">
      <c r="A19" s="137"/>
      <c r="B19" s="12"/>
      <c r="C19" s="5"/>
      <c r="O19" s="4"/>
    </row>
    <row r="20" spans="1:15" s="1" customFormat="1" ht="12" x14ac:dyDescent="0.2">
      <c r="A20" s="137"/>
      <c r="B20" s="12"/>
      <c r="C20" s="245"/>
      <c r="D20" s="246"/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</row>
    <row r="21" spans="1:15" s="1" customFormat="1" ht="12" x14ac:dyDescent="0.2">
      <c r="A21" s="137"/>
      <c r="B21" s="12"/>
      <c r="C21" s="248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9"/>
    </row>
    <row r="22" spans="1:15" s="1" customFormat="1" ht="12" x14ac:dyDescent="0.2">
      <c r="A22" s="137"/>
      <c r="B22" s="12"/>
      <c r="C22" s="248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9"/>
    </row>
    <row r="23" spans="1:15" s="1" customFormat="1" ht="23.25" customHeight="1" x14ac:dyDescent="0.2">
      <c r="A23" s="137"/>
      <c r="B23" s="12"/>
      <c r="C23" s="248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9"/>
    </row>
    <row r="24" spans="1:15" s="1" customFormat="1" ht="12" x14ac:dyDescent="0.2">
      <c r="A24" s="137"/>
      <c r="B24" s="12"/>
      <c r="C24" s="249"/>
      <c r="D24" s="250"/>
      <c r="E24" s="250"/>
      <c r="F24" s="250"/>
      <c r="G24" s="250"/>
      <c r="H24" s="250"/>
      <c r="I24" s="250"/>
      <c r="J24" s="250"/>
      <c r="K24" s="250"/>
      <c r="L24" s="250"/>
      <c r="M24" s="250"/>
      <c r="N24" s="250"/>
      <c r="O24" s="251"/>
    </row>
    <row r="25" spans="1:15" s="1" customFormat="1" ht="6" customHeight="1" x14ac:dyDescent="0.2">
      <c r="A25" s="137"/>
      <c r="B25" s="12"/>
      <c r="C25" s="5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3"/>
    </row>
    <row r="26" spans="1:15" s="1" customFormat="1" ht="15" customHeight="1" x14ac:dyDescent="0.2">
      <c r="A26" s="137"/>
      <c r="B26" s="252" t="s">
        <v>340</v>
      </c>
      <c r="C26" s="151"/>
      <c r="D26" s="151"/>
      <c r="E26" s="253"/>
      <c r="F26" s="81"/>
      <c r="G26" s="254" t="s">
        <v>38</v>
      </c>
      <c r="H26" s="254"/>
      <c r="I26" s="16"/>
      <c r="J26" s="81"/>
      <c r="K26" s="16" t="s">
        <v>39</v>
      </c>
      <c r="L26" s="16"/>
      <c r="M26" s="81"/>
      <c r="N26" s="16" t="s">
        <v>40</v>
      </c>
      <c r="O26" s="13"/>
    </row>
    <row r="27" spans="1:15" s="1" customFormat="1" ht="5.25" customHeight="1" x14ac:dyDescent="0.2">
      <c r="A27" s="137"/>
      <c r="B27" s="17"/>
      <c r="C27" s="5"/>
      <c r="O27" s="4"/>
    </row>
    <row r="28" spans="1:15" s="1" customFormat="1" ht="15.75" customHeight="1" x14ac:dyDescent="0.2">
      <c r="A28" s="128" t="s">
        <v>42</v>
      </c>
      <c r="B28" s="85"/>
      <c r="C28" s="82"/>
      <c r="D28" s="82"/>
      <c r="E28" s="82"/>
      <c r="F28" s="82"/>
      <c r="G28" s="82"/>
      <c r="H28" s="82"/>
      <c r="I28" s="82"/>
      <c r="J28" s="82"/>
      <c r="K28" s="2"/>
      <c r="L28" s="2"/>
      <c r="M28" s="2"/>
      <c r="N28" s="2"/>
      <c r="O28" s="3"/>
    </row>
    <row r="29" spans="1:15" s="1" customFormat="1" ht="14.25" customHeight="1" x14ac:dyDescent="0.2">
      <c r="A29" s="129"/>
      <c r="B29" s="85"/>
      <c r="C29" s="19"/>
      <c r="D29" s="83" t="s">
        <v>352</v>
      </c>
      <c r="E29" s="37"/>
      <c r="F29" s="19"/>
      <c r="G29" s="160" t="s">
        <v>341</v>
      </c>
      <c r="H29" s="161"/>
      <c r="I29" s="19"/>
      <c r="J29" s="160" t="s">
        <v>342</v>
      </c>
      <c r="K29" s="161"/>
      <c r="L29" s="19"/>
      <c r="M29" s="84" t="s">
        <v>34</v>
      </c>
      <c r="N29" s="20"/>
      <c r="O29" s="4"/>
    </row>
    <row r="30" spans="1:15" s="1" customFormat="1" ht="15.75" customHeight="1" x14ac:dyDescent="0.2">
      <c r="A30" s="129"/>
      <c r="B30" s="85"/>
      <c r="F30" s="9"/>
      <c r="G30" s="20"/>
      <c r="J30" s="37"/>
      <c r="K30" s="9"/>
      <c r="L30" s="229"/>
      <c r="M30" s="229"/>
      <c r="N30" s="229"/>
      <c r="O30" s="4"/>
    </row>
    <row r="31" spans="1:15" s="1" customFormat="1" ht="15.75" customHeight="1" x14ac:dyDescent="0.2">
      <c r="A31" s="129"/>
      <c r="B31" s="85"/>
      <c r="J31" s="37"/>
      <c r="K31" s="20"/>
      <c r="L31" s="229"/>
      <c r="M31" s="229"/>
      <c r="N31" s="229"/>
      <c r="O31" s="4"/>
    </row>
    <row r="32" spans="1:15" s="1" customFormat="1" ht="15.75" customHeight="1" x14ac:dyDescent="0.2">
      <c r="A32" s="129"/>
      <c r="B32" s="85"/>
      <c r="C32" s="37"/>
      <c r="D32" s="37"/>
      <c r="E32" s="37"/>
      <c r="F32" s="37"/>
      <c r="G32" s="37"/>
      <c r="H32" s="37"/>
      <c r="I32" s="37"/>
      <c r="J32" s="37"/>
      <c r="K32" s="9"/>
      <c r="O32" s="4"/>
    </row>
    <row r="33" spans="1:15" s="9" customFormat="1" ht="15.75" customHeight="1" x14ac:dyDescent="0.25">
      <c r="A33" s="130"/>
      <c r="B33" s="163" t="s">
        <v>49</v>
      </c>
      <c r="C33" s="164"/>
      <c r="D33" s="164"/>
      <c r="E33" s="243"/>
      <c r="F33" s="244"/>
      <c r="G33" s="244"/>
      <c r="H33" s="244"/>
      <c r="I33" s="94"/>
      <c r="J33" s="94"/>
      <c r="K33" s="91" t="s">
        <v>50</v>
      </c>
      <c r="L33" s="244"/>
      <c r="M33" s="244"/>
      <c r="N33" s="244"/>
      <c r="O33" s="26"/>
    </row>
    <row r="34" spans="1:15" s="1" customFormat="1" ht="14.25" customHeight="1" x14ac:dyDescent="0.2">
      <c r="A34" s="128" t="s">
        <v>51</v>
      </c>
      <c r="B34" s="233" t="s">
        <v>52</v>
      </c>
      <c r="C34" s="233"/>
      <c r="D34" s="233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</row>
    <row r="35" spans="1:15" s="1" customFormat="1" ht="20.100000000000001" customHeight="1" x14ac:dyDescent="0.2">
      <c r="A35" s="129"/>
      <c r="B35" s="167" t="s">
        <v>343</v>
      </c>
      <c r="C35" s="167"/>
      <c r="D35" s="167"/>
      <c r="E35" s="234"/>
      <c r="F35" s="234"/>
      <c r="G35" s="234"/>
      <c r="H35" s="234"/>
      <c r="I35" s="234"/>
      <c r="J35" s="234"/>
      <c r="K35" s="234"/>
      <c r="L35" s="234"/>
      <c r="M35" s="234"/>
      <c r="N35" s="234"/>
      <c r="O35" s="235"/>
    </row>
    <row r="36" spans="1:15" s="1" customFormat="1" ht="20.100000000000001" customHeight="1" x14ac:dyDescent="0.2">
      <c r="A36" s="129"/>
      <c r="B36" s="167" t="s">
        <v>344</v>
      </c>
      <c r="C36" s="167"/>
      <c r="D36" s="167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7"/>
    </row>
    <row r="37" spans="1:15" s="1" customFormat="1" ht="20.100000000000001" customHeight="1" x14ac:dyDescent="0.2">
      <c r="A37" s="129"/>
      <c r="B37" s="167" t="s">
        <v>345</v>
      </c>
      <c r="C37" s="167"/>
      <c r="D37" s="167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9"/>
    </row>
    <row r="38" spans="1:15" s="1" customFormat="1" ht="20.100000000000001" customHeight="1" x14ac:dyDescent="0.2">
      <c r="A38" s="129"/>
      <c r="B38" s="167" t="s">
        <v>346</v>
      </c>
      <c r="C38" s="167"/>
      <c r="D38" s="167"/>
      <c r="E38" s="236"/>
      <c r="F38" s="236"/>
      <c r="G38" s="236"/>
      <c r="H38" s="236"/>
      <c r="I38" s="236"/>
      <c r="J38" s="236"/>
      <c r="K38" s="236"/>
      <c r="L38" s="236"/>
      <c r="M38" s="236"/>
      <c r="N38" s="236"/>
      <c r="O38" s="237"/>
    </row>
    <row r="39" spans="1:15" s="1" customFormat="1" ht="20.100000000000001" customHeight="1" x14ac:dyDescent="0.2">
      <c r="A39" s="129"/>
      <c r="B39" s="167" t="s">
        <v>347</v>
      </c>
      <c r="C39" s="167"/>
      <c r="D39" s="167"/>
      <c r="E39" s="236"/>
      <c r="F39" s="236"/>
      <c r="G39" s="236"/>
      <c r="H39" s="236"/>
      <c r="I39" s="236"/>
      <c r="J39" s="236"/>
      <c r="K39" s="236"/>
      <c r="L39" s="236"/>
      <c r="M39" s="236"/>
      <c r="N39" s="236"/>
      <c r="O39" s="237"/>
    </row>
    <row r="40" spans="1:15" s="1" customFormat="1" ht="8.25" customHeight="1" x14ac:dyDescent="0.2">
      <c r="A40" s="130"/>
      <c r="B40" s="23"/>
      <c r="C40" s="23"/>
      <c r="D40" s="23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8"/>
    </row>
    <row r="41" spans="1:15" s="1" customFormat="1" ht="8.25" customHeight="1" x14ac:dyDescent="0.2">
      <c r="A41" s="128" t="s">
        <v>325</v>
      </c>
      <c r="B41" s="86"/>
      <c r="C41" s="29"/>
      <c r="D41" s="29"/>
      <c r="E41" s="30"/>
      <c r="F41" s="30"/>
      <c r="G41" s="30"/>
      <c r="H41" s="30"/>
      <c r="I41" s="30"/>
      <c r="J41" s="30"/>
      <c r="K41" s="30"/>
      <c r="L41" s="30"/>
      <c r="M41" s="30"/>
      <c r="N41" s="76"/>
      <c r="O41" s="31"/>
    </row>
    <row r="42" spans="1:15" s="1" customFormat="1" ht="12" x14ac:dyDescent="0.2">
      <c r="A42" s="129"/>
      <c r="B42" s="87"/>
      <c r="C42" s="177"/>
      <c r="D42" s="178"/>
      <c r="E42" s="179" t="s">
        <v>59</v>
      </c>
      <c r="F42" s="179"/>
      <c r="G42" s="179"/>
      <c r="H42" s="179"/>
      <c r="I42" s="179"/>
      <c r="J42" s="179" t="s">
        <v>60</v>
      </c>
      <c r="K42" s="179"/>
      <c r="L42" s="179" t="s">
        <v>61</v>
      </c>
      <c r="M42" s="179"/>
      <c r="N42" s="19" t="s">
        <v>348</v>
      </c>
      <c r="O42" s="33"/>
    </row>
    <row r="43" spans="1:15" s="1" customFormat="1" ht="50.1" customHeight="1" x14ac:dyDescent="0.2">
      <c r="A43" s="129"/>
      <c r="B43" s="87"/>
      <c r="C43" s="179" t="s">
        <v>349</v>
      </c>
      <c r="D43" s="179"/>
      <c r="E43" s="241"/>
      <c r="F43" s="241"/>
      <c r="G43" s="241"/>
      <c r="H43" s="241"/>
      <c r="I43" s="241"/>
      <c r="J43" s="241"/>
      <c r="K43" s="241"/>
      <c r="L43" s="242"/>
      <c r="M43" s="242"/>
      <c r="N43" s="90"/>
      <c r="O43" s="33"/>
    </row>
    <row r="44" spans="1:15" s="1" customFormat="1" ht="50.1" customHeight="1" x14ac:dyDescent="0.2">
      <c r="A44" s="129"/>
      <c r="B44" s="88"/>
      <c r="C44" s="179" t="s">
        <v>350</v>
      </c>
      <c r="D44" s="179"/>
      <c r="E44" s="241"/>
      <c r="F44" s="241"/>
      <c r="G44" s="241"/>
      <c r="H44" s="241"/>
      <c r="I44" s="241"/>
      <c r="J44" s="241"/>
      <c r="K44" s="241"/>
      <c r="L44" s="242"/>
      <c r="M44" s="242"/>
      <c r="N44" s="90"/>
      <c r="O44" s="89"/>
    </row>
    <row r="45" spans="1:15" s="1" customFormat="1" ht="12.75" customHeight="1" x14ac:dyDescent="0.2">
      <c r="A45" s="191" t="s">
        <v>66</v>
      </c>
      <c r="B45" s="138"/>
      <c r="C45" s="138"/>
      <c r="D45" s="138"/>
      <c r="E45" s="138"/>
      <c r="K45" s="9"/>
      <c r="O45" s="4"/>
    </row>
    <row r="46" spans="1:15" s="1" customFormat="1" ht="21" customHeight="1" x14ac:dyDescent="0.2">
      <c r="A46" s="36"/>
      <c r="B46" s="185" t="s">
        <v>329</v>
      </c>
      <c r="C46" s="185"/>
      <c r="D46" s="185"/>
      <c r="E46" s="231"/>
      <c r="F46" s="232"/>
      <c r="G46" s="232"/>
      <c r="H46" s="232"/>
      <c r="I46" s="10"/>
      <c r="J46" s="185" t="s">
        <v>330</v>
      </c>
      <c r="K46" s="185"/>
      <c r="L46" s="185"/>
      <c r="M46" s="232"/>
      <c r="N46" s="232"/>
      <c r="O46" s="240"/>
    </row>
    <row r="47" spans="1:15" s="1" customFormat="1" ht="12" x14ac:dyDescent="0.2">
      <c r="A47" s="37"/>
      <c r="B47" s="9"/>
      <c r="C47" s="9"/>
      <c r="D47" s="9"/>
      <c r="J47" s="9"/>
      <c r="K47" s="9"/>
    </row>
    <row r="48" spans="1:15" s="1" customFormat="1" ht="12" hidden="1" x14ac:dyDescent="0.2">
      <c r="A48" s="37"/>
    </row>
    <row r="49" spans="1:7" s="1" customFormat="1" ht="12" hidden="1" x14ac:dyDescent="0.2">
      <c r="A49" s="37"/>
      <c r="B49" s="1" t="s">
        <v>331</v>
      </c>
    </row>
    <row r="50" spans="1:7" s="1" customFormat="1" ht="12" hidden="1" x14ac:dyDescent="0.2">
      <c r="A50" s="37"/>
    </row>
    <row r="51" spans="1:7" s="1" customFormat="1" ht="12" hidden="1" x14ac:dyDescent="0.2">
      <c r="A51" s="37"/>
    </row>
    <row r="52" spans="1:7" s="1" customFormat="1" ht="38.25" hidden="1" customHeight="1" x14ac:dyDescent="0.2">
      <c r="A52" s="183" t="s">
        <v>73</v>
      </c>
      <c r="B52" s="7" t="str">
        <f>IF(ISBLANK(F26),"","Mineure")</f>
        <v/>
      </c>
      <c r="C52" s="7" t="str">
        <f>B52&amp;B53&amp;B54</f>
        <v/>
      </c>
    </row>
    <row r="53" spans="1:7" s="1" customFormat="1" ht="12" hidden="1" x14ac:dyDescent="0.2">
      <c r="A53" s="183"/>
      <c r="B53" s="7" t="str">
        <f>IF(ISBLANK(J26),"","Majeure")</f>
        <v/>
      </c>
    </row>
    <row r="54" spans="1:7" s="1" customFormat="1" ht="12" hidden="1" x14ac:dyDescent="0.2">
      <c r="A54" s="183"/>
      <c r="B54" s="7" t="str">
        <f>IF(ISBLANK(M26),"","Critique")</f>
        <v/>
      </c>
    </row>
    <row r="55" spans="1:7" s="1" customFormat="1" ht="12" hidden="1" x14ac:dyDescent="0.2"/>
    <row r="56" spans="1:7" s="1" customFormat="1" ht="36" hidden="1" customHeight="1" x14ac:dyDescent="0.2">
      <c r="A56" s="183" t="s">
        <v>74</v>
      </c>
      <c r="B56" s="7" t="str">
        <f>IF(ISBLANK(#REF!),"","Minute sécurité/sensibilisation")</f>
        <v>Minute sécurité/sensibilisation</v>
      </c>
      <c r="C56" s="7" t="str">
        <f>B56&amp;B57&amp;B58</f>
        <v>Minute sécurité/sensibilisationBalisage0</v>
      </c>
    </row>
    <row r="57" spans="1:7" s="1" customFormat="1" ht="12" hidden="1" x14ac:dyDescent="0.2">
      <c r="A57" s="183"/>
      <c r="B57" s="7" t="str">
        <f>IF(ISBLANK(#REF!),"","Balisage")</f>
        <v>Balisage</v>
      </c>
    </row>
    <row r="58" spans="1:7" s="1" customFormat="1" ht="12" hidden="1" x14ac:dyDescent="0.2">
      <c r="A58" s="183"/>
      <c r="B58" s="7">
        <f>IF(ISBLANK(#REF!),"",F32)</f>
        <v>0</v>
      </c>
    </row>
    <row r="59" spans="1:7" s="1" customFormat="1" ht="12" hidden="1" x14ac:dyDescent="0.2">
      <c r="A59" s="184"/>
    </row>
    <row r="60" spans="1:7" s="1" customFormat="1" ht="12" hidden="1" x14ac:dyDescent="0.2">
      <c r="A60" s="184"/>
    </row>
    <row r="61" spans="1:7" s="1" customFormat="1" ht="12" hidden="1" x14ac:dyDescent="0.2">
      <c r="A61" s="184"/>
    </row>
    <row r="62" spans="1:7" s="1" customFormat="1" ht="12" hidden="1" x14ac:dyDescent="0.2">
      <c r="B62" s="1" t="str">
        <f t="shared" ref="B62" si="0">IF(ISBLANK(C33),"","Blocage")</f>
        <v/>
      </c>
    </row>
    <row r="63" spans="1:7" s="1" customFormat="1" ht="12" hidden="1" x14ac:dyDescent="0.2"/>
    <row r="64" spans="1:7" s="1" customFormat="1" ht="48" hidden="1" customHeight="1" x14ac:dyDescent="0.2">
      <c r="A64" s="184" t="s">
        <v>351</v>
      </c>
      <c r="B64" s="167" t="str">
        <f>E35&amp;"    "&amp;E36&amp;"    "&amp;E37&amp;"    "&amp;E38&amp;"    "&amp;E39</f>
        <v xml:space="preserve">                </v>
      </c>
      <c r="C64" s="167"/>
      <c r="D64" s="167"/>
      <c r="E64" s="167"/>
      <c r="F64" s="167"/>
      <c r="G64" s="167"/>
    </row>
    <row r="65" spans="1:7" s="1" customFormat="1" ht="12" hidden="1" x14ac:dyDescent="0.2">
      <c r="A65" s="184"/>
      <c r="B65" s="167"/>
      <c r="C65" s="167"/>
      <c r="D65" s="167"/>
      <c r="E65" s="167"/>
      <c r="F65" s="167"/>
      <c r="G65" s="167"/>
    </row>
    <row r="66" spans="1:7" s="1" customFormat="1" ht="12" hidden="1" x14ac:dyDescent="0.2">
      <c r="B66" s="167"/>
      <c r="C66" s="167"/>
      <c r="D66" s="167"/>
      <c r="E66" s="167"/>
      <c r="F66" s="167"/>
      <c r="G66" s="167"/>
    </row>
    <row r="67" spans="1:7" s="1" customFormat="1" ht="12" hidden="1" x14ac:dyDescent="0.2"/>
    <row r="68" spans="1:7" s="1" customFormat="1" ht="12" hidden="1" x14ac:dyDescent="0.2"/>
    <row r="69" spans="1:7" s="1" customFormat="1" ht="12" hidden="1" x14ac:dyDescent="0.2"/>
    <row r="70" spans="1:7" s="1" customFormat="1" ht="12" x14ac:dyDescent="0.2"/>
    <row r="71" spans="1:7" s="1" customFormat="1" ht="12" x14ac:dyDescent="0.2"/>
    <row r="72" spans="1:7" s="1" customFormat="1" ht="12" x14ac:dyDescent="0.2"/>
    <row r="73" spans="1:7" s="1" customFormat="1" ht="12" x14ac:dyDescent="0.2"/>
    <row r="74" spans="1:7" s="1" customFormat="1" ht="12" x14ac:dyDescent="0.2"/>
    <row r="75" spans="1:7" s="1" customFormat="1" ht="12" x14ac:dyDescent="0.2"/>
    <row r="76" spans="1:7" s="1" customFormat="1" ht="12" x14ac:dyDescent="0.2"/>
    <row r="77" spans="1:7" s="1" customFormat="1" ht="12" x14ac:dyDescent="0.2"/>
    <row r="78" spans="1:7" s="1" customFormat="1" ht="12" x14ac:dyDescent="0.2"/>
    <row r="79" spans="1:7" s="1" customFormat="1" ht="12" x14ac:dyDescent="0.2"/>
    <row r="80" spans="1:7" s="1" customFormat="1" ht="12" x14ac:dyDescent="0.2"/>
    <row r="81" s="1" customFormat="1" ht="12" x14ac:dyDescent="0.2"/>
    <row r="82" s="1" customFormat="1" ht="12" x14ac:dyDescent="0.2"/>
    <row r="83" s="1" customFormat="1" ht="12" x14ac:dyDescent="0.2"/>
    <row r="84" s="1" customFormat="1" ht="12" x14ac:dyDescent="0.2"/>
    <row r="85" s="1" customFormat="1" ht="12" x14ac:dyDescent="0.2"/>
    <row r="86" s="1" customFormat="1" ht="12" x14ac:dyDescent="0.2"/>
    <row r="87" s="1" customFormat="1" ht="12" x14ac:dyDescent="0.2"/>
    <row r="88" s="1" customFormat="1" ht="12" x14ac:dyDescent="0.2"/>
  </sheetData>
  <mergeCells count="72">
    <mergeCell ref="A5:O5"/>
    <mergeCell ref="M6:O6"/>
    <mergeCell ref="A1:B2"/>
    <mergeCell ref="C1:M1"/>
    <mergeCell ref="N1:O1"/>
    <mergeCell ref="C2:M4"/>
    <mergeCell ref="N2:O2"/>
    <mergeCell ref="A3:B4"/>
    <mergeCell ref="N3:O3"/>
    <mergeCell ref="N4:O4"/>
    <mergeCell ref="E6:H6"/>
    <mergeCell ref="J6:L6"/>
    <mergeCell ref="A8:A17"/>
    <mergeCell ref="B8:O8"/>
    <mergeCell ref="D10:G11"/>
    <mergeCell ref="M10:O10"/>
    <mergeCell ref="M12:O12"/>
    <mergeCell ref="D13:F13"/>
    <mergeCell ref="M13:O13"/>
    <mergeCell ref="M14:O16"/>
    <mergeCell ref="D15:F15"/>
    <mergeCell ref="A18:A27"/>
    <mergeCell ref="C18:E18"/>
    <mergeCell ref="C20:O24"/>
    <mergeCell ref="B26:E26"/>
    <mergeCell ref="G26:H26"/>
    <mergeCell ref="A28:A33"/>
    <mergeCell ref="G29:H29"/>
    <mergeCell ref="L30:N31"/>
    <mergeCell ref="B33:D33"/>
    <mergeCell ref="E33:H33"/>
    <mergeCell ref="L33:N33"/>
    <mergeCell ref="J29:K29"/>
    <mergeCell ref="J46:L46"/>
    <mergeCell ref="M46:O46"/>
    <mergeCell ref="A41:A44"/>
    <mergeCell ref="C42:D42"/>
    <mergeCell ref="J42:K42"/>
    <mergeCell ref="L42:M42"/>
    <mergeCell ref="C43:D43"/>
    <mergeCell ref="J43:K43"/>
    <mergeCell ref="L43:M43"/>
    <mergeCell ref="C44:D44"/>
    <mergeCell ref="J44:K44"/>
    <mergeCell ref="L44:M44"/>
    <mergeCell ref="E42:I42"/>
    <mergeCell ref="E43:I43"/>
    <mergeCell ref="E44:I44"/>
    <mergeCell ref="A34:A40"/>
    <mergeCell ref="B34:D34"/>
    <mergeCell ref="B35:D35"/>
    <mergeCell ref="E35:O35"/>
    <mergeCell ref="B36:D36"/>
    <mergeCell ref="E36:O36"/>
    <mergeCell ref="B37:D37"/>
    <mergeCell ref="B38:D38"/>
    <mergeCell ref="E38:O38"/>
    <mergeCell ref="B39:D39"/>
    <mergeCell ref="E39:O39"/>
    <mergeCell ref="E37:O37"/>
    <mergeCell ref="A52:A54"/>
    <mergeCell ref="A56:A61"/>
    <mergeCell ref="A64:A65"/>
    <mergeCell ref="B64:G66"/>
    <mergeCell ref="A45:E45"/>
    <mergeCell ref="B46:D46"/>
    <mergeCell ref="E46:H46"/>
    <mergeCell ref="E7:H7"/>
    <mergeCell ref="K7:L7"/>
    <mergeCell ref="M7:N7"/>
    <mergeCell ref="A7:D7"/>
    <mergeCell ref="A6:D6"/>
  </mergeCells>
  <conditionalFormatting sqref="M7:N7">
    <cfRule type="expression" dxfId="0" priority="1">
      <formula>COUNTIF($K$7,"Poste :")=1</formula>
    </cfRule>
  </conditionalFormatting>
  <pageMargins left="0.70866141732283505" right="0.70866141732283505" top="0.39370078740157499" bottom="0.74803149606299202" header="0.31496062992126" footer="0.31496062992126"/>
  <pageSetup paperSize="9" scale="72" orientation="portrait" r:id="rId1"/>
  <headerFooter>
    <oddFooter>&amp;R&amp;P/&amp;N</oddFooter>
    <firstFooter>&amp;C-&amp;R&amp;P/&amp;N</first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BDD!$E$3:$E$28</xm:f>
          </x14:formula1>
          <xm:sqref>E7:H7</xm:sqref>
        </x14:dataValidation>
        <x14:dataValidation type="list" allowBlank="1" showInputMessage="1" showErrorMessage="1" xr:uid="{00000000-0002-0000-0200-000001000000}">
          <x14:formula1>
            <xm:f>BDD!$M$3:$M$5</xm:f>
          </x14:formula1>
          <xm:sqref>N43:N44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L13"/>
  <sheetViews>
    <sheetView workbookViewId="0">
      <selection activeCell="F17" sqref="F17"/>
    </sheetView>
  </sheetViews>
  <sheetFormatPr baseColWidth="10" defaultColWidth="11.5703125" defaultRowHeight="12.75" x14ac:dyDescent="0.2"/>
  <cols>
    <col min="1" max="1" width="12.7109375" style="43" bestFit="1" customWidth="1"/>
    <col min="2" max="2" width="10.5703125" style="43" bestFit="1" customWidth="1"/>
    <col min="3" max="3" width="18.42578125" style="43" bestFit="1" customWidth="1"/>
    <col min="4" max="4" width="6.5703125" style="43" bestFit="1" customWidth="1"/>
    <col min="5" max="5" width="14.5703125" style="43" bestFit="1" customWidth="1"/>
    <col min="6" max="6" width="11.7109375" style="43" bestFit="1" customWidth="1"/>
    <col min="7" max="7" width="13.5703125" style="43" bestFit="1" customWidth="1"/>
    <col min="8" max="8" width="19.28515625" style="43" bestFit="1" customWidth="1"/>
    <col min="9" max="9" width="5.5703125" style="43" bestFit="1" customWidth="1"/>
    <col min="10" max="10" width="8.28515625" style="43" bestFit="1" customWidth="1"/>
    <col min="11" max="11" width="11.5703125" style="43"/>
    <col min="12" max="12" width="14.5703125" style="44" bestFit="1" customWidth="1"/>
    <col min="13" max="16384" width="11.5703125" style="43"/>
  </cols>
  <sheetData>
    <row r="1" spans="1:12" x14ac:dyDescent="0.2">
      <c r="A1" s="42" t="s">
        <v>76</v>
      </c>
      <c r="B1" s="42" t="s">
        <v>77</v>
      </c>
      <c r="C1" s="42" t="s">
        <v>78</v>
      </c>
      <c r="D1" s="42" t="s">
        <v>79</v>
      </c>
      <c r="E1" s="42" t="s">
        <v>80</v>
      </c>
      <c r="F1" s="42" t="s">
        <v>81</v>
      </c>
      <c r="G1" s="42" t="s">
        <v>82</v>
      </c>
      <c r="H1" s="42" t="s">
        <v>83</v>
      </c>
      <c r="I1" s="42" t="s">
        <v>84</v>
      </c>
      <c r="J1" s="42" t="s">
        <v>85</v>
      </c>
      <c r="L1" s="42">
        <f>'ENS Qualité'!G9</f>
        <v>0</v>
      </c>
    </row>
    <row r="2" spans="1:12" x14ac:dyDescent="0.2">
      <c r="A2" s="44" t="s">
        <v>86</v>
      </c>
      <c r="B2" s="44" t="s">
        <v>86</v>
      </c>
      <c r="C2" s="44" t="s">
        <v>86</v>
      </c>
      <c r="D2" s="44" t="s">
        <v>86</v>
      </c>
      <c r="E2" s="42" t="s">
        <v>87</v>
      </c>
      <c r="F2" s="44" t="s">
        <v>86</v>
      </c>
      <c r="G2" s="44" t="s">
        <v>86</v>
      </c>
      <c r="H2" s="44" t="s">
        <v>86</v>
      </c>
      <c r="I2" s="44" t="s">
        <v>86</v>
      </c>
      <c r="J2" s="44" t="s">
        <v>86</v>
      </c>
      <c r="L2" s="44" t="e">
        <f t="shared" ref="L2:L13" si="0">INDEX(A2:J2,MATCH($L$1,Choix1,0))</f>
        <v>#N/A</v>
      </c>
    </row>
    <row r="3" spans="1:12" x14ac:dyDescent="0.2">
      <c r="A3" s="44" t="s">
        <v>86</v>
      </c>
      <c r="B3" s="44" t="s">
        <v>86</v>
      </c>
      <c r="C3" s="44" t="s">
        <v>86</v>
      </c>
      <c r="D3" s="44" t="s">
        <v>86</v>
      </c>
      <c r="E3" s="42" t="s">
        <v>88</v>
      </c>
      <c r="F3" s="44" t="s">
        <v>86</v>
      </c>
      <c r="G3" s="44" t="s">
        <v>86</v>
      </c>
      <c r="H3" s="44" t="s">
        <v>86</v>
      </c>
      <c r="I3" s="44" t="s">
        <v>86</v>
      </c>
      <c r="J3" s="44" t="s">
        <v>86</v>
      </c>
      <c r="L3" s="44" t="e">
        <f t="shared" si="0"/>
        <v>#N/A</v>
      </c>
    </row>
    <row r="4" spans="1:12" x14ac:dyDescent="0.2">
      <c r="A4" s="44" t="s">
        <v>86</v>
      </c>
      <c r="B4" s="44" t="s">
        <v>86</v>
      </c>
      <c r="C4" s="44" t="s">
        <v>86</v>
      </c>
      <c r="D4" s="44" t="s">
        <v>86</v>
      </c>
      <c r="E4" s="42" t="s">
        <v>89</v>
      </c>
      <c r="F4" s="44" t="s">
        <v>86</v>
      </c>
      <c r="G4" s="44" t="s">
        <v>86</v>
      </c>
      <c r="H4" s="44" t="s">
        <v>86</v>
      </c>
      <c r="I4" s="44" t="s">
        <v>86</v>
      </c>
      <c r="J4" s="44" t="s">
        <v>86</v>
      </c>
      <c r="L4" s="44" t="e">
        <f t="shared" si="0"/>
        <v>#N/A</v>
      </c>
    </row>
    <row r="5" spans="1:12" x14ac:dyDescent="0.2">
      <c r="A5" s="44" t="s">
        <v>86</v>
      </c>
      <c r="B5" s="44" t="s">
        <v>86</v>
      </c>
      <c r="C5" s="44" t="s">
        <v>86</v>
      </c>
      <c r="D5" s="44" t="s">
        <v>86</v>
      </c>
      <c r="E5" s="42" t="s">
        <v>90</v>
      </c>
      <c r="F5" s="44" t="s">
        <v>86</v>
      </c>
      <c r="G5" s="44" t="s">
        <v>86</v>
      </c>
      <c r="H5" s="44" t="s">
        <v>86</v>
      </c>
      <c r="I5" s="44" t="s">
        <v>86</v>
      </c>
      <c r="J5" s="44" t="s">
        <v>86</v>
      </c>
      <c r="L5" s="44" t="e">
        <f t="shared" si="0"/>
        <v>#N/A</v>
      </c>
    </row>
    <row r="6" spans="1:12" x14ac:dyDescent="0.2">
      <c r="A6" s="44" t="s">
        <v>86</v>
      </c>
      <c r="B6" s="44" t="s">
        <v>86</v>
      </c>
      <c r="C6" s="44" t="s">
        <v>86</v>
      </c>
      <c r="D6" s="44" t="s">
        <v>86</v>
      </c>
      <c r="E6" s="42" t="s">
        <v>91</v>
      </c>
      <c r="F6" s="44" t="s">
        <v>86</v>
      </c>
      <c r="G6" s="44" t="s">
        <v>86</v>
      </c>
      <c r="H6" s="44" t="s">
        <v>86</v>
      </c>
      <c r="I6" s="44" t="s">
        <v>86</v>
      </c>
      <c r="J6" s="44" t="s">
        <v>86</v>
      </c>
      <c r="L6" s="44" t="e">
        <f t="shared" si="0"/>
        <v>#N/A</v>
      </c>
    </row>
    <row r="7" spans="1:12" x14ac:dyDescent="0.2">
      <c r="A7" s="44" t="s">
        <v>86</v>
      </c>
      <c r="B7" s="44" t="s">
        <v>86</v>
      </c>
      <c r="C7" s="44" t="s">
        <v>86</v>
      </c>
      <c r="D7" s="44" t="s">
        <v>86</v>
      </c>
      <c r="E7" s="42" t="s">
        <v>92</v>
      </c>
      <c r="F7" s="44" t="s">
        <v>86</v>
      </c>
      <c r="G7" s="44" t="s">
        <v>86</v>
      </c>
      <c r="H7" s="44" t="s">
        <v>86</v>
      </c>
      <c r="I7" s="44" t="s">
        <v>86</v>
      </c>
      <c r="J7" s="44" t="s">
        <v>86</v>
      </c>
      <c r="L7" s="44" t="e">
        <f t="shared" si="0"/>
        <v>#N/A</v>
      </c>
    </row>
    <row r="8" spans="1:12" x14ac:dyDescent="0.2">
      <c r="A8" s="44" t="s">
        <v>86</v>
      </c>
      <c r="B8" s="44" t="s">
        <v>86</v>
      </c>
      <c r="C8" s="44" t="s">
        <v>86</v>
      </c>
      <c r="D8" s="44" t="s">
        <v>86</v>
      </c>
      <c r="E8" s="42" t="s">
        <v>93</v>
      </c>
      <c r="F8" s="44" t="s">
        <v>86</v>
      </c>
      <c r="G8" s="44" t="s">
        <v>86</v>
      </c>
      <c r="H8" s="44" t="s">
        <v>86</v>
      </c>
      <c r="I8" s="44" t="s">
        <v>86</v>
      </c>
      <c r="J8" s="44" t="s">
        <v>86</v>
      </c>
      <c r="L8" s="44" t="e">
        <f t="shared" si="0"/>
        <v>#N/A</v>
      </c>
    </row>
    <row r="9" spans="1:12" x14ac:dyDescent="0.2">
      <c r="A9" s="44" t="s">
        <v>86</v>
      </c>
      <c r="B9" s="44" t="s">
        <v>86</v>
      </c>
      <c r="C9" s="44" t="s">
        <v>86</v>
      </c>
      <c r="D9" s="44" t="s">
        <v>86</v>
      </c>
      <c r="E9" s="42" t="s">
        <v>94</v>
      </c>
      <c r="F9" s="44" t="s">
        <v>86</v>
      </c>
      <c r="G9" s="44" t="s">
        <v>86</v>
      </c>
      <c r="H9" s="44" t="s">
        <v>86</v>
      </c>
      <c r="I9" s="44" t="s">
        <v>86</v>
      </c>
      <c r="J9" s="44" t="s">
        <v>86</v>
      </c>
      <c r="L9" s="44" t="e">
        <f t="shared" si="0"/>
        <v>#N/A</v>
      </c>
    </row>
    <row r="10" spans="1:12" x14ac:dyDescent="0.2">
      <c r="A10" s="44" t="s">
        <v>86</v>
      </c>
      <c r="B10" s="44" t="s">
        <v>86</v>
      </c>
      <c r="C10" s="44" t="s">
        <v>86</v>
      </c>
      <c r="D10" s="44" t="s">
        <v>86</v>
      </c>
      <c r="E10" s="42" t="s">
        <v>95</v>
      </c>
      <c r="F10" s="44" t="s">
        <v>86</v>
      </c>
      <c r="G10" s="44" t="s">
        <v>86</v>
      </c>
      <c r="H10" s="44" t="s">
        <v>86</v>
      </c>
      <c r="I10" s="44" t="s">
        <v>86</v>
      </c>
      <c r="J10" s="44" t="s">
        <v>86</v>
      </c>
      <c r="L10" s="44" t="e">
        <f t="shared" si="0"/>
        <v>#N/A</v>
      </c>
    </row>
    <row r="11" spans="1:12" x14ac:dyDescent="0.2">
      <c r="A11" s="44" t="s">
        <v>86</v>
      </c>
      <c r="B11" s="44" t="s">
        <v>86</v>
      </c>
      <c r="C11" s="44" t="s">
        <v>86</v>
      </c>
      <c r="D11" s="44" t="s">
        <v>86</v>
      </c>
      <c r="E11" s="42" t="s">
        <v>96</v>
      </c>
      <c r="F11" s="44" t="s">
        <v>86</v>
      </c>
      <c r="G11" s="44" t="s">
        <v>86</v>
      </c>
      <c r="H11" s="44" t="s">
        <v>86</v>
      </c>
      <c r="I11" s="44" t="s">
        <v>86</v>
      </c>
      <c r="J11" s="44" t="s">
        <v>86</v>
      </c>
      <c r="L11" s="44" t="e">
        <f t="shared" si="0"/>
        <v>#N/A</v>
      </c>
    </row>
    <row r="12" spans="1:12" x14ac:dyDescent="0.2">
      <c r="A12" s="44" t="s">
        <v>86</v>
      </c>
      <c r="B12" s="44" t="s">
        <v>86</v>
      </c>
      <c r="C12" s="44" t="s">
        <v>86</v>
      </c>
      <c r="D12" s="44" t="s">
        <v>86</v>
      </c>
      <c r="E12" s="42" t="s">
        <v>97</v>
      </c>
      <c r="F12" s="44" t="s">
        <v>86</v>
      </c>
      <c r="G12" s="44" t="s">
        <v>86</v>
      </c>
      <c r="H12" s="44" t="s">
        <v>86</v>
      </c>
      <c r="I12" s="44" t="s">
        <v>86</v>
      </c>
      <c r="J12" s="44" t="s">
        <v>86</v>
      </c>
      <c r="L12" s="44" t="e">
        <f t="shared" si="0"/>
        <v>#N/A</v>
      </c>
    </row>
    <row r="13" spans="1:12" x14ac:dyDescent="0.2">
      <c r="A13" s="44" t="s">
        <v>86</v>
      </c>
      <c r="B13" s="44" t="s">
        <v>86</v>
      </c>
      <c r="C13" s="44" t="s">
        <v>86</v>
      </c>
      <c r="D13" s="44" t="s">
        <v>86</v>
      </c>
      <c r="E13" s="42" t="s">
        <v>98</v>
      </c>
      <c r="F13" s="44" t="s">
        <v>86</v>
      </c>
      <c r="G13" s="44" t="s">
        <v>86</v>
      </c>
      <c r="H13" s="44" t="s">
        <v>86</v>
      </c>
      <c r="I13" s="44" t="s">
        <v>86</v>
      </c>
      <c r="J13" s="44" t="s">
        <v>86</v>
      </c>
      <c r="L13" s="44" t="e">
        <f t="shared" si="0"/>
        <v>#N/A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O213"/>
  <sheetViews>
    <sheetView zoomScale="90" zoomScaleNormal="90" workbookViewId="0">
      <selection activeCell="H6" sqref="H6"/>
    </sheetView>
  </sheetViews>
  <sheetFormatPr baseColWidth="10" defaultColWidth="11.5703125" defaultRowHeight="12.75" x14ac:dyDescent="0.2"/>
  <cols>
    <col min="1" max="1" width="36.28515625" style="43" customWidth="1"/>
    <col min="2" max="2" width="49.28515625" style="43" bestFit="1" customWidth="1"/>
    <col min="3" max="3" width="23.28515625" style="43" customWidth="1"/>
    <col min="4" max="4" width="11.5703125" style="43"/>
    <col min="5" max="5" width="22.7109375" style="43" customWidth="1"/>
    <col min="6" max="6" width="18.85546875" style="43" customWidth="1"/>
    <col min="7" max="7" width="42" style="43" customWidth="1"/>
    <col min="8" max="8" width="29.28515625" style="43" customWidth="1"/>
    <col min="9" max="9" width="23.42578125" style="43" customWidth="1"/>
    <col min="10" max="10" width="25.85546875" style="43" customWidth="1"/>
    <col min="11" max="12" width="20" style="43" customWidth="1"/>
    <col min="13" max="13" width="14.5703125" style="43" customWidth="1"/>
    <col min="14" max="14" width="11.5703125" style="43"/>
    <col min="15" max="15" width="28.42578125" style="43" bestFit="1" customWidth="1"/>
    <col min="16" max="16384" width="11.5703125" style="43"/>
  </cols>
  <sheetData>
    <row r="1" spans="1:15" ht="23.25" x14ac:dyDescent="0.2">
      <c r="A1" s="260" t="s">
        <v>99</v>
      </c>
      <c r="B1" s="261"/>
      <c r="C1" s="262"/>
    </row>
    <row r="2" spans="1:15" x14ac:dyDescent="0.2">
      <c r="A2" s="45" t="str">
        <f>IF(OR(COUNTIF('ENS Qualité'!$E$58,"*Sécurité*")),B2,"")</f>
        <v/>
      </c>
      <c r="B2" s="46" t="s">
        <v>100</v>
      </c>
      <c r="C2" s="45"/>
      <c r="E2" s="47" t="s">
        <v>101</v>
      </c>
      <c r="F2" s="47" t="s">
        <v>102</v>
      </c>
      <c r="G2" s="47" t="s">
        <v>103</v>
      </c>
      <c r="H2" s="48" t="s">
        <v>104</v>
      </c>
      <c r="I2" s="48" t="s">
        <v>105</v>
      </c>
      <c r="J2" s="48" t="s">
        <v>106</v>
      </c>
      <c r="K2" s="48" t="s">
        <v>107</v>
      </c>
      <c r="L2" s="48" t="s">
        <v>108</v>
      </c>
      <c r="M2" s="48" t="s">
        <v>109</v>
      </c>
      <c r="N2" s="49" t="s">
        <v>110</v>
      </c>
      <c r="O2" s="49" t="s">
        <v>111</v>
      </c>
    </row>
    <row r="3" spans="1:15" x14ac:dyDescent="0.2">
      <c r="A3" s="45" t="str">
        <f>IF(OR(COUNTIF('ENS Qualité'!$E$58,"*Sécurité*")),B3,"")</f>
        <v/>
      </c>
      <c r="B3" s="46" t="s">
        <v>356</v>
      </c>
      <c r="C3" s="45"/>
      <c r="E3" s="42" t="s">
        <v>112</v>
      </c>
      <c r="F3" s="42" t="s">
        <v>113</v>
      </c>
      <c r="G3" s="42" t="s">
        <v>114</v>
      </c>
      <c r="H3" s="51" t="s">
        <v>115</v>
      </c>
      <c r="I3" s="42" t="s">
        <v>76</v>
      </c>
      <c r="J3" s="52" t="s">
        <v>87</v>
      </c>
      <c r="K3" s="45" t="s">
        <v>116</v>
      </c>
      <c r="L3" s="53" t="s">
        <v>117</v>
      </c>
      <c r="M3" s="42" t="s">
        <v>118</v>
      </c>
      <c r="N3" s="54" t="s">
        <v>119</v>
      </c>
      <c r="O3" s="54" t="s">
        <v>120</v>
      </c>
    </row>
    <row r="4" spans="1:15" x14ac:dyDescent="0.2">
      <c r="A4" s="50"/>
      <c r="B4" s="55"/>
      <c r="C4" s="55"/>
      <c r="E4" s="42" t="s">
        <v>121</v>
      </c>
      <c r="F4" s="42" t="s">
        <v>122</v>
      </c>
      <c r="G4" s="42" t="s">
        <v>123</v>
      </c>
      <c r="H4" s="51" t="s">
        <v>124</v>
      </c>
      <c r="I4" s="42" t="s">
        <v>77</v>
      </c>
      <c r="J4" s="51" t="s">
        <v>88</v>
      </c>
      <c r="K4" s="45" t="s">
        <v>125</v>
      </c>
      <c r="L4" s="56" t="s">
        <v>126</v>
      </c>
      <c r="M4" s="42" t="s">
        <v>127</v>
      </c>
      <c r="N4" s="54" t="s">
        <v>128</v>
      </c>
      <c r="O4" s="54" t="s">
        <v>129</v>
      </c>
    </row>
    <row r="5" spans="1:15" x14ac:dyDescent="0.2">
      <c r="A5" s="50"/>
      <c r="B5" s="55"/>
      <c r="C5" s="55"/>
      <c r="E5" s="42" t="s">
        <v>130</v>
      </c>
      <c r="F5" s="42" t="s">
        <v>131</v>
      </c>
      <c r="G5" s="42" t="s">
        <v>132</v>
      </c>
      <c r="H5" s="51" t="s">
        <v>359</v>
      </c>
      <c r="I5" s="42" t="s">
        <v>78</v>
      </c>
      <c r="J5" s="51" t="s">
        <v>89</v>
      </c>
      <c r="K5" s="45" t="s">
        <v>134</v>
      </c>
      <c r="L5" s="56" t="s">
        <v>135</v>
      </c>
      <c r="M5" s="42" t="s">
        <v>136</v>
      </c>
      <c r="N5" s="54" t="s">
        <v>137</v>
      </c>
      <c r="O5" s="54" t="s">
        <v>138</v>
      </c>
    </row>
    <row r="6" spans="1:15" x14ac:dyDescent="0.2">
      <c r="A6" s="45" t="str">
        <f>IF(OR('ENS Qualité'!$E$7=C6,'ENS Qualité'!$M$7=C6,'ENS Sécurité'!$E$7=C6,'ENS Environnement Energie'!$E$7=C6),BDD!B6,"")</f>
        <v/>
      </c>
      <c r="B6" s="55" t="s">
        <v>139</v>
      </c>
      <c r="C6" s="55" t="s">
        <v>112</v>
      </c>
      <c r="E6" s="42" t="s">
        <v>140</v>
      </c>
      <c r="F6" s="42" t="s">
        <v>141</v>
      </c>
      <c r="G6" s="42" t="s">
        <v>142</v>
      </c>
      <c r="H6" s="51" t="s">
        <v>133</v>
      </c>
      <c r="I6" s="42" t="s">
        <v>79</v>
      </c>
      <c r="J6" s="51" t="s">
        <v>90</v>
      </c>
      <c r="K6" s="45" t="s">
        <v>144</v>
      </c>
      <c r="L6" s="56" t="s">
        <v>145</v>
      </c>
      <c r="O6" s="57" t="s">
        <v>146</v>
      </c>
    </row>
    <row r="7" spans="1:15" x14ac:dyDescent="0.2">
      <c r="A7" s="45" t="str">
        <f>IF(OR('ENS Qualité'!$E$7=C7,'ENS Qualité'!$M$7=C7,'ENS Sécurité'!$E$7=C7,'ENS Environnement Energie'!$E$7=C7),BDD!B7,"")</f>
        <v/>
      </c>
      <c r="B7" s="55" t="s">
        <v>147</v>
      </c>
      <c r="C7" s="55" t="s">
        <v>112</v>
      </c>
      <c r="E7" s="42" t="s">
        <v>148</v>
      </c>
      <c r="F7" s="57"/>
      <c r="G7" s="42" t="s">
        <v>149</v>
      </c>
      <c r="H7" s="51" t="s">
        <v>143</v>
      </c>
      <c r="I7" s="42" t="s">
        <v>80</v>
      </c>
      <c r="J7" s="51" t="s">
        <v>91</v>
      </c>
      <c r="K7" s="45" t="s">
        <v>151</v>
      </c>
      <c r="L7" s="56" t="s">
        <v>152</v>
      </c>
      <c r="O7" s="57" t="s">
        <v>153</v>
      </c>
    </row>
    <row r="8" spans="1:15" x14ac:dyDescent="0.2">
      <c r="A8" s="45" t="str">
        <f>IF(OR('ENS Qualité'!$E$7=C8,'ENS Qualité'!$M$7=C8,'ENS Sécurité'!$E$7=C8,'ENS Environnement Energie'!$E$7=C8),BDD!B8,"")</f>
        <v/>
      </c>
      <c r="B8" s="55" t="s">
        <v>154</v>
      </c>
      <c r="C8" s="55" t="s">
        <v>112</v>
      </c>
      <c r="E8" s="42" t="s">
        <v>155</v>
      </c>
      <c r="F8" s="57"/>
      <c r="G8" s="42" t="s">
        <v>156</v>
      </c>
      <c r="H8" s="51" t="s">
        <v>150</v>
      </c>
      <c r="I8" s="42" t="s">
        <v>81</v>
      </c>
      <c r="J8" s="51" t="s">
        <v>92</v>
      </c>
      <c r="K8" s="45" t="s">
        <v>158</v>
      </c>
      <c r="L8" s="56" t="s">
        <v>159</v>
      </c>
      <c r="O8" s="57" t="s">
        <v>160</v>
      </c>
    </row>
    <row r="9" spans="1:15" x14ac:dyDescent="0.2">
      <c r="A9" s="45" t="str">
        <f>IF(OR('ENS Qualité'!$E$7=C9,'ENS Qualité'!$M$7=C9,'ENS Sécurité'!$E$7=C9,'ENS Environnement Energie'!$E$7=C9),BDD!B9,"")</f>
        <v/>
      </c>
      <c r="B9" s="55" t="s">
        <v>161</v>
      </c>
      <c r="C9" s="55" t="s">
        <v>112</v>
      </c>
      <c r="E9" s="42" t="s">
        <v>162</v>
      </c>
      <c r="G9" s="42" t="s">
        <v>163</v>
      </c>
      <c r="H9" s="51" t="s">
        <v>157</v>
      </c>
      <c r="I9" s="42" t="s">
        <v>82</v>
      </c>
      <c r="J9" s="51" t="s">
        <v>93</v>
      </c>
      <c r="K9" s="45" t="s">
        <v>164</v>
      </c>
      <c r="L9" s="56" t="s">
        <v>165</v>
      </c>
      <c r="O9" s="57" t="s">
        <v>166</v>
      </c>
    </row>
    <row r="10" spans="1:15" x14ac:dyDescent="0.2">
      <c r="A10" s="45" t="str">
        <f>IF(OR('ENS Qualité'!$E$7=C10,'ENS Qualité'!$M$7=C10,'ENS Sécurité'!$E$7=C10,'ENS Environnement Energie'!$E$7=C10),BDD!B10,"")</f>
        <v/>
      </c>
      <c r="B10" s="55" t="s">
        <v>167</v>
      </c>
      <c r="C10" s="55" t="s">
        <v>112</v>
      </c>
      <c r="E10" s="42" t="s">
        <v>168</v>
      </c>
      <c r="G10" s="42" t="s">
        <v>169</v>
      </c>
      <c r="I10" s="42" t="s">
        <v>83</v>
      </c>
      <c r="J10" s="51" t="s">
        <v>94</v>
      </c>
      <c r="K10" s="45" t="s">
        <v>170</v>
      </c>
      <c r="L10" s="56" t="s">
        <v>171</v>
      </c>
      <c r="O10" s="57" t="s">
        <v>172</v>
      </c>
    </row>
    <row r="11" spans="1:15" x14ac:dyDescent="0.2">
      <c r="A11" s="45" t="str">
        <f>IF(OR('ENS Qualité'!$E$7=C11,'ENS Qualité'!$M$7=C11,'ENS Sécurité'!$E$7=C11,'ENS Environnement Energie'!$E$7=C11),BDD!B11,"")</f>
        <v/>
      </c>
      <c r="B11" s="55" t="s">
        <v>173</v>
      </c>
      <c r="C11" s="55" t="s">
        <v>112</v>
      </c>
      <c r="E11" s="42" t="s">
        <v>174</v>
      </c>
      <c r="G11" s="42" t="s">
        <v>175</v>
      </c>
      <c r="I11" s="42" t="s">
        <v>84</v>
      </c>
      <c r="J11" s="51" t="s">
        <v>95</v>
      </c>
      <c r="K11" s="45" t="s">
        <v>176</v>
      </c>
      <c r="L11" s="56" t="s">
        <v>177</v>
      </c>
      <c r="O11" s="57" t="s">
        <v>178</v>
      </c>
    </row>
    <row r="12" spans="1:15" x14ac:dyDescent="0.2">
      <c r="A12" s="50"/>
      <c r="B12" s="58"/>
      <c r="C12" s="58"/>
      <c r="E12" s="42" t="s">
        <v>179</v>
      </c>
      <c r="G12" s="42" t="s">
        <v>180</v>
      </c>
      <c r="I12" s="42" t="s">
        <v>85</v>
      </c>
      <c r="J12" s="51" t="s">
        <v>96</v>
      </c>
      <c r="K12" s="45" t="s">
        <v>181</v>
      </c>
      <c r="L12" s="56" t="s">
        <v>182</v>
      </c>
      <c r="O12" s="57" t="s">
        <v>183</v>
      </c>
    </row>
    <row r="13" spans="1:15" x14ac:dyDescent="0.2">
      <c r="A13" s="50"/>
      <c r="B13" s="58"/>
      <c r="C13" s="58"/>
      <c r="E13" s="42" t="s">
        <v>184</v>
      </c>
      <c r="G13" s="54" t="s">
        <v>185</v>
      </c>
      <c r="I13" s="42"/>
      <c r="J13" s="51" t="s">
        <v>97</v>
      </c>
      <c r="K13" s="45" t="s">
        <v>186</v>
      </c>
      <c r="L13" s="56" t="s">
        <v>187</v>
      </c>
    </row>
    <row r="14" spans="1:15" x14ac:dyDescent="0.2">
      <c r="A14" s="45" t="str">
        <f>IF(OR('ENS Qualité'!$E$7=C14,'ENS Qualité'!$M$7=C14,'ENS Sécurité'!$E$7=C14,'ENS Environnement Energie'!$E$7=C14),BDD!B14,"")</f>
        <v/>
      </c>
      <c r="B14" s="58" t="s">
        <v>188</v>
      </c>
      <c r="C14" s="58" t="s">
        <v>121</v>
      </c>
      <c r="E14" s="42" t="s">
        <v>189</v>
      </c>
      <c r="G14" s="42" t="s">
        <v>190</v>
      </c>
      <c r="I14" s="42"/>
      <c r="J14" s="51" t="s">
        <v>98</v>
      </c>
      <c r="K14" s="45" t="s">
        <v>191</v>
      </c>
      <c r="L14" s="45" t="s">
        <v>192</v>
      </c>
    </row>
    <row r="15" spans="1:15" x14ac:dyDescent="0.2">
      <c r="A15" s="45" t="str">
        <f>IF(OR('ENS Qualité'!$E$7=C15,'ENS Qualité'!$M$7=C15,'ENS Sécurité'!$E$7=C15,'ENS Environnement Energie'!$E$7=C15),BDD!B15,"")</f>
        <v/>
      </c>
      <c r="B15" s="58" t="s">
        <v>193</v>
      </c>
      <c r="C15" s="58" t="s">
        <v>121</v>
      </c>
      <c r="E15" s="42" t="s">
        <v>194</v>
      </c>
      <c r="G15" s="42" t="s">
        <v>195</v>
      </c>
      <c r="K15" s="45" t="s">
        <v>196</v>
      </c>
    </row>
    <row r="16" spans="1:15" x14ac:dyDescent="0.2">
      <c r="A16" s="45" t="str">
        <f>IF(OR('ENS Qualité'!$E$7=C16,'ENS Qualité'!$M$7=C16,'ENS Sécurité'!$E$7=C16,'ENS Environnement Energie'!$E$7=C16),BDD!B16,"")</f>
        <v/>
      </c>
      <c r="B16" s="58" t="s">
        <v>197</v>
      </c>
      <c r="C16" s="58" t="s">
        <v>121</v>
      </c>
      <c r="E16" s="42" t="s">
        <v>198</v>
      </c>
      <c r="G16" s="42" t="s">
        <v>199</v>
      </c>
      <c r="K16" s="45" t="s">
        <v>200</v>
      </c>
    </row>
    <row r="17" spans="1:11" x14ac:dyDescent="0.2">
      <c r="A17" s="45" t="str">
        <f>IF(OR('ENS Qualité'!$E$7=C17,'ENS Qualité'!$M$7=C17,'ENS Sécurité'!$E$7=C17,'ENS Environnement Energie'!$E$7=C17),BDD!B17,"")</f>
        <v/>
      </c>
      <c r="B17" s="58" t="s">
        <v>353</v>
      </c>
      <c r="C17" s="58" t="s">
        <v>121</v>
      </c>
      <c r="E17" s="42" t="s">
        <v>201</v>
      </c>
      <c r="G17" s="42" t="s">
        <v>202</v>
      </c>
      <c r="K17" s="45" t="s">
        <v>203</v>
      </c>
    </row>
    <row r="18" spans="1:11" x14ac:dyDescent="0.2">
      <c r="A18" s="45" t="str">
        <f>IF(OR('ENS Qualité'!$E$7=C18,'ENS Qualité'!$M$7=C18,'ENS Sécurité'!$E$7=C18,'ENS Environnement Energie'!$E$7=C18),BDD!B18,"")</f>
        <v/>
      </c>
      <c r="B18" s="58" t="s">
        <v>204</v>
      </c>
      <c r="C18" s="58" t="s">
        <v>121</v>
      </c>
      <c r="E18" s="42" t="s">
        <v>205</v>
      </c>
      <c r="G18" s="42" t="s">
        <v>206</v>
      </c>
      <c r="K18" s="45" t="s">
        <v>207</v>
      </c>
    </row>
    <row r="19" spans="1:11" x14ac:dyDescent="0.2">
      <c r="A19" s="45" t="str">
        <f>IF(OR('ENS Qualité'!$E$7=C19,'ENS Qualité'!$M$7=C19,'ENS Sécurité'!$E$7=C19,'ENS Environnement Energie'!$E$7=C19),BDD!B19,"")</f>
        <v/>
      </c>
      <c r="B19" s="58" t="s">
        <v>250</v>
      </c>
      <c r="C19" s="58" t="s">
        <v>121</v>
      </c>
      <c r="E19" s="42" t="s">
        <v>208</v>
      </c>
      <c r="G19" s="42" t="s">
        <v>209</v>
      </c>
      <c r="K19" s="45" t="s">
        <v>210</v>
      </c>
    </row>
    <row r="20" spans="1:11" x14ac:dyDescent="0.2">
      <c r="A20" s="45" t="str">
        <f>IF(OR('ENS Qualité'!$E$7=C20,'ENS Qualité'!$M$7=C20,'ENS Sécurité'!$E$7=C20,'ENS Environnement Energie'!$E$7=C20),BDD!B20,"")</f>
        <v/>
      </c>
      <c r="B20" s="58" t="s">
        <v>211</v>
      </c>
      <c r="C20" s="58" t="s">
        <v>121</v>
      </c>
      <c r="E20" s="42" t="s">
        <v>212</v>
      </c>
      <c r="G20" s="42" t="s">
        <v>129</v>
      </c>
      <c r="K20" s="45" t="s">
        <v>213</v>
      </c>
    </row>
    <row r="21" spans="1:11" x14ac:dyDescent="0.2">
      <c r="A21" s="45" t="str">
        <f>IF(OR('ENS Qualité'!$E$7=C21,'ENS Qualité'!$M$7=C21,'ENS Sécurité'!$E$7=C21,'ENS Environnement Energie'!$E$7=C21),BDD!B21,"")</f>
        <v/>
      </c>
      <c r="B21" s="58" t="s">
        <v>214</v>
      </c>
      <c r="C21" s="58" t="s">
        <v>121</v>
      </c>
      <c r="E21" s="42" t="s">
        <v>215</v>
      </c>
      <c r="G21" s="42" t="s">
        <v>216</v>
      </c>
      <c r="K21" s="45" t="s">
        <v>217</v>
      </c>
    </row>
    <row r="22" spans="1:11" x14ac:dyDescent="0.2">
      <c r="A22" s="45" t="str">
        <f>IF(OR('ENS Qualité'!$E$7=C22,'ENS Qualité'!$M$7=C22,'ENS Sécurité'!$E$7=C22,'ENS Environnement Energie'!$E$7=C22),BDD!B22,"")</f>
        <v/>
      </c>
      <c r="B22" s="58" t="s">
        <v>218</v>
      </c>
      <c r="C22" s="58" t="s">
        <v>121</v>
      </c>
      <c r="E22" s="42" t="s">
        <v>219</v>
      </c>
      <c r="G22" s="42" t="s">
        <v>220</v>
      </c>
      <c r="K22" s="45" t="s">
        <v>221</v>
      </c>
    </row>
    <row r="23" spans="1:11" x14ac:dyDescent="0.2">
      <c r="A23" s="45" t="str">
        <f>IF(OR('ENS Qualité'!$E$7=C23,'ENS Qualité'!$M$7=C23,'ENS Sécurité'!$E$7=C23,'ENS Environnement Energie'!$E$7=C23),BDD!B23,"")</f>
        <v/>
      </c>
      <c r="B23" s="58" t="s">
        <v>222</v>
      </c>
      <c r="C23" s="58" t="s">
        <v>121</v>
      </c>
      <c r="E23" s="42" t="s">
        <v>223</v>
      </c>
      <c r="G23" s="42" t="s">
        <v>224</v>
      </c>
      <c r="K23" s="45" t="s">
        <v>225</v>
      </c>
    </row>
    <row r="24" spans="1:11" x14ac:dyDescent="0.2">
      <c r="A24" s="50"/>
      <c r="B24" s="58"/>
      <c r="C24" s="58"/>
      <c r="E24" s="42" t="s">
        <v>226</v>
      </c>
      <c r="G24" s="42" t="s">
        <v>227</v>
      </c>
      <c r="K24" s="45" t="s">
        <v>228</v>
      </c>
    </row>
    <row r="25" spans="1:11" x14ac:dyDescent="0.2">
      <c r="A25" s="50"/>
      <c r="B25" s="55"/>
      <c r="C25" s="55"/>
      <c r="E25" s="42" t="s">
        <v>0</v>
      </c>
      <c r="G25" s="42" t="s">
        <v>229</v>
      </c>
      <c r="H25" s="48" t="s">
        <v>230</v>
      </c>
      <c r="I25" s="42" t="s">
        <v>231</v>
      </c>
      <c r="K25" s="45" t="s">
        <v>232</v>
      </c>
    </row>
    <row r="26" spans="1:11" x14ac:dyDescent="0.2">
      <c r="A26" s="50"/>
      <c r="B26" s="55"/>
      <c r="C26" s="55"/>
      <c r="E26" s="42" t="s">
        <v>233</v>
      </c>
      <c r="G26" s="42" t="s">
        <v>234</v>
      </c>
      <c r="H26" s="45" t="s">
        <v>235</v>
      </c>
      <c r="I26" s="42" t="s">
        <v>236</v>
      </c>
      <c r="K26" s="45" t="s">
        <v>98</v>
      </c>
    </row>
    <row r="27" spans="1:11" x14ac:dyDescent="0.2">
      <c r="A27" s="45" t="str">
        <f>IF(OR('ENS Qualité'!$E$7=C27,'ENS Qualité'!$M$7=C27,'ENS Sécurité'!$E$7=C27,'ENS Environnement Energie'!$E$7=C27),BDD!B27,"")</f>
        <v/>
      </c>
      <c r="B27" s="55" t="s">
        <v>188</v>
      </c>
      <c r="C27" s="55" t="s">
        <v>130</v>
      </c>
      <c r="E27" s="42" t="s">
        <v>237</v>
      </c>
      <c r="G27" s="42" t="s">
        <v>238</v>
      </c>
      <c r="H27" s="45" t="s">
        <v>239</v>
      </c>
    </row>
    <row r="28" spans="1:11" x14ac:dyDescent="0.2">
      <c r="A28" s="45" t="str">
        <f>IF(OR('ENS Qualité'!$E$7=C28,'ENS Qualité'!$M$7=C28,'ENS Sécurité'!$E$7=C28,'ENS Environnement Energie'!$E$7=C28),BDD!B28,"")</f>
        <v/>
      </c>
      <c r="B28" s="55" t="s">
        <v>193</v>
      </c>
      <c r="C28" s="55" t="s">
        <v>130</v>
      </c>
      <c r="E28" s="59" t="s">
        <v>98</v>
      </c>
      <c r="G28" s="42" t="s">
        <v>240</v>
      </c>
      <c r="H28" s="45" t="s">
        <v>241</v>
      </c>
      <c r="I28" s="42" t="s">
        <v>242</v>
      </c>
    </row>
    <row r="29" spans="1:11" x14ac:dyDescent="0.2">
      <c r="A29" s="45" t="str">
        <f>IF(OR('ENS Qualité'!$E$7=C29,'ENS Qualité'!$M$7=C29,'ENS Sécurité'!$E$7=C29,'ENS Environnement Energie'!$E$7=C29),BDD!B29,"")</f>
        <v/>
      </c>
      <c r="B29" s="55" t="s">
        <v>197</v>
      </c>
      <c r="C29" s="55" t="s">
        <v>130</v>
      </c>
      <c r="E29" s="57"/>
      <c r="G29" s="42" t="s">
        <v>243</v>
      </c>
      <c r="H29" s="45" t="s">
        <v>244</v>
      </c>
      <c r="I29" s="42" t="s">
        <v>245</v>
      </c>
    </row>
    <row r="30" spans="1:11" x14ac:dyDescent="0.2">
      <c r="A30" s="45" t="str">
        <f>IF(OR('ENS Qualité'!$E$7=C30,'ENS Qualité'!$M$7=C30,'ENS Sécurité'!$E$7=C30,'ENS Environnement Energie'!$E$7=C30),BDD!B30,"")</f>
        <v/>
      </c>
      <c r="B30" s="55" t="s">
        <v>353</v>
      </c>
      <c r="C30" s="55" t="s">
        <v>130</v>
      </c>
      <c r="G30" s="42" t="s">
        <v>246</v>
      </c>
      <c r="H30" s="45" t="s">
        <v>247</v>
      </c>
    </row>
    <row r="31" spans="1:11" x14ac:dyDescent="0.2">
      <c r="A31" s="45" t="str">
        <f>IF(OR('ENS Qualité'!$E$7=C31,'ENS Qualité'!$M$7=C31,'ENS Sécurité'!$E$7=C31,'ENS Environnement Energie'!$E$7=C31),BDD!B31,"")</f>
        <v/>
      </c>
      <c r="B31" s="55" t="s">
        <v>204</v>
      </c>
      <c r="C31" s="55" t="s">
        <v>130</v>
      </c>
      <c r="G31" s="42" t="s">
        <v>248</v>
      </c>
      <c r="H31" s="45" t="s">
        <v>249</v>
      </c>
    </row>
    <row r="32" spans="1:11" x14ac:dyDescent="0.2">
      <c r="A32" s="45" t="str">
        <f>IF(OR('ENS Qualité'!$E$7=C32,'ENS Qualité'!$M$7=C32,'ENS Sécurité'!$E$7=C32,'ENS Environnement Energie'!$E$7=C32),BDD!B32,"")</f>
        <v/>
      </c>
      <c r="B32" s="55" t="s">
        <v>211</v>
      </c>
      <c r="C32" s="55" t="s">
        <v>130</v>
      </c>
      <c r="G32" s="42" t="s">
        <v>98</v>
      </c>
    </row>
    <row r="33" spans="1:3" x14ac:dyDescent="0.2">
      <c r="A33" s="45" t="str">
        <f>IF(OR('ENS Qualité'!$E$7=C33,'ENS Qualité'!$M$7=C33,'ENS Sécurité'!$E$7=C33,'ENS Environnement Energie'!$E$7=C33),BDD!B33,"")</f>
        <v/>
      </c>
      <c r="B33" s="55" t="s">
        <v>214</v>
      </c>
      <c r="C33" s="55" t="s">
        <v>130</v>
      </c>
    </row>
    <row r="34" spans="1:3" x14ac:dyDescent="0.2">
      <c r="A34" s="45" t="str">
        <f>IF(OR('ENS Qualité'!$E$7=C34,'ENS Qualité'!$M$7=C34,'ENS Sécurité'!$E$7=C34,'ENS Environnement Energie'!$E$7=C34),BDD!B34,"")</f>
        <v/>
      </c>
      <c r="B34" s="55" t="s">
        <v>222</v>
      </c>
      <c r="C34" s="55" t="s">
        <v>130</v>
      </c>
    </row>
    <row r="35" spans="1:3" x14ac:dyDescent="0.2">
      <c r="A35" s="45" t="str">
        <f>IF(OR('ENS Qualité'!$E$7=C35,'ENS Qualité'!$M$7=C35,'ENS Sécurité'!$E$7=C35,'ENS Environnement Energie'!$E$7=C35),BDD!B35,"")</f>
        <v/>
      </c>
      <c r="B35" s="55" t="s">
        <v>250</v>
      </c>
      <c r="C35" s="55" t="s">
        <v>130</v>
      </c>
    </row>
    <row r="36" spans="1:3" x14ac:dyDescent="0.2">
      <c r="A36" s="45" t="str">
        <f>IF(OR('ENS Qualité'!$E$7=C36,'ENS Qualité'!$M$7=C36,'ENS Sécurité'!$E$7=C36,'ENS Environnement Energie'!$E$7=C36),BDD!B36,"")</f>
        <v/>
      </c>
      <c r="B36" s="55" t="s">
        <v>218</v>
      </c>
      <c r="C36" s="55" t="s">
        <v>130</v>
      </c>
    </row>
    <row r="37" spans="1:3" x14ac:dyDescent="0.2">
      <c r="A37" s="50"/>
      <c r="B37" s="55"/>
      <c r="C37" s="55"/>
    </row>
    <row r="38" spans="1:3" x14ac:dyDescent="0.2">
      <c r="A38" s="50"/>
      <c r="B38" s="55"/>
      <c r="C38" s="55"/>
    </row>
    <row r="39" spans="1:3" x14ac:dyDescent="0.2">
      <c r="A39" s="45" t="str">
        <f>IF(OR('ENS Qualité'!$E$7=C39,'ENS Qualité'!$M$7=C39,'ENS Sécurité'!$E$7=C39,'ENS Environnement Energie'!$E$7=C39),BDD!B39,"")</f>
        <v/>
      </c>
      <c r="B39" s="58" t="s">
        <v>251</v>
      </c>
      <c r="C39" s="58" t="s">
        <v>140</v>
      </c>
    </row>
    <row r="40" spans="1:3" x14ac:dyDescent="0.2">
      <c r="A40" s="45" t="str">
        <f>IF(OR('ENS Qualité'!$E$7=C40,'ENS Qualité'!$M$7=C40,'ENS Sécurité'!$E$7=C40,'ENS Environnement Energie'!$E$7=C40),BDD!B40,"")</f>
        <v/>
      </c>
      <c r="B40" s="58" t="s">
        <v>252</v>
      </c>
      <c r="C40" s="58" t="s">
        <v>140</v>
      </c>
    </row>
    <row r="41" spans="1:3" x14ac:dyDescent="0.2">
      <c r="A41" s="45" t="str">
        <f>IF(OR('ENS Qualité'!$E$7=C41,'ENS Qualité'!$M$7=C41,'ENS Sécurité'!$E$7=C41,'ENS Environnement Energie'!$E$7=C41),BDD!B41,"")</f>
        <v/>
      </c>
      <c r="B41" s="58" t="s">
        <v>253</v>
      </c>
      <c r="C41" s="58" t="s">
        <v>140</v>
      </c>
    </row>
    <row r="42" spans="1:3" x14ac:dyDescent="0.2">
      <c r="A42" s="45" t="str">
        <f>IF(OR('ENS Qualité'!$E$7=C42,'ENS Qualité'!$M$7=C42,'ENS Sécurité'!$E$7=C42,'ENS Environnement Energie'!$E$7=C42),BDD!B42,"")</f>
        <v/>
      </c>
      <c r="B42" s="58" t="s">
        <v>254</v>
      </c>
      <c r="C42" s="58" t="s">
        <v>140</v>
      </c>
    </row>
    <row r="43" spans="1:3" x14ac:dyDescent="0.2">
      <c r="A43" s="45" t="str">
        <f>IF(OR('ENS Qualité'!$E$7=C43,'ENS Qualité'!$M$7=C43,'ENS Sécurité'!$E$7=C43,'ENS Environnement Energie'!$E$7=C43),BDD!B43,"")</f>
        <v/>
      </c>
      <c r="B43" s="58" t="s">
        <v>255</v>
      </c>
      <c r="C43" s="58" t="s">
        <v>140</v>
      </c>
    </row>
    <row r="44" spans="1:3" x14ac:dyDescent="0.2">
      <c r="A44" s="45" t="str">
        <f>IF(OR('ENS Qualité'!$E$7=C44,'ENS Qualité'!$M$7=C44,'ENS Sécurité'!$E$7=C44,'ENS Environnement Energie'!$E$7=C44),BDD!B44,"")</f>
        <v/>
      </c>
      <c r="B44" s="58" t="s">
        <v>256</v>
      </c>
      <c r="C44" s="58" t="s">
        <v>140</v>
      </c>
    </row>
    <row r="45" spans="1:3" x14ac:dyDescent="0.2">
      <c r="A45" s="45" t="str">
        <f>IF(OR('ENS Qualité'!$E$7=C45,'ENS Qualité'!$M$7=C45,'ENS Sécurité'!$E$7=C45,'ENS Environnement Energie'!$E$7=C45),BDD!B45,"")</f>
        <v/>
      </c>
      <c r="B45" s="58" t="s">
        <v>257</v>
      </c>
      <c r="C45" s="58" t="s">
        <v>140</v>
      </c>
    </row>
    <row r="46" spans="1:3" x14ac:dyDescent="0.2">
      <c r="A46" s="45" t="str">
        <f>IF(OR('ENS Qualité'!$E$7=C46,'ENS Qualité'!$M$7=C46,'ENS Sécurité'!$E$7=C46,'ENS Environnement Energie'!$E$7=C46),BDD!B46,"")</f>
        <v/>
      </c>
      <c r="B46" s="58" t="s">
        <v>258</v>
      </c>
      <c r="C46" s="58" t="s">
        <v>140</v>
      </c>
    </row>
    <row r="47" spans="1:3" x14ac:dyDescent="0.2">
      <c r="A47" s="45" t="str">
        <f>IF(OR('ENS Qualité'!$E$7=C47,'ENS Qualité'!$M$7=C47,'ENS Sécurité'!$E$7=C47,'ENS Environnement Energie'!$E$7=C47),BDD!B47,"")</f>
        <v/>
      </c>
      <c r="B47" s="58" t="s">
        <v>259</v>
      </c>
      <c r="C47" s="58" t="s">
        <v>140</v>
      </c>
    </row>
    <row r="48" spans="1:3" x14ac:dyDescent="0.2">
      <c r="A48" s="45" t="str">
        <f>IF(OR('ENS Qualité'!$E$7=C48,'ENS Qualité'!$M$7=C48,'ENS Sécurité'!$E$7=C48,'ENS Environnement Energie'!$E$7=C48),BDD!B48,"")</f>
        <v/>
      </c>
      <c r="B48" s="58" t="s">
        <v>357</v>
      </c>
      <c r="C48" s="58" t="s">
        <v>140</v>
      </c>
    </row>
    <row r="49" spans="1:3" x14ac:dyDescent="0.2">
      <c r="A49" s="45" t="str">
        <f>IF(OR('ENS Qualité'!$E$7=C49,'ENS Qualité'!$M$7=C49,'ENS Sécurité'!$E$7=C49,'ENS Environnement Energie'!$E$7=C49),BDD!B49,"")</f>
        <v/>
      </c>
      <c r="B49" s="58" t="s">
        <v>260</v>
      </c>
      <c r="C49" s="58" t="s">
        <v>140</v>
      </c>
    </row>
    <row r="50" spans="1:3" x14ac:dyDescent="0.2">
      <c r="A50" s="45" t="str">
        <f>IF(OR('ENS Qualité'!$E$7=C50,'ENS Qualité'!$M$7=C50,'ENS Sécurité'!$E$7=C50,'ENS Environnement Energie'!$E$7=C50),BDD!B50,"")</f>
        <v/>
      </c>
      <c r="B50" s="58" t="s">
        <v>355</v>
      </c>
      <c r="C50" s="58" t="s">
        <v>140</v>
      </c>
    </row>
    <row r="51" spans="1:3" x14ac:dyDescent="0.2">
      <c r="A51" s="50"/>
      <c r="B51" s="58"/>
      <c r="C51" s="58"/>
    </row>
    <row r="52" spans="1:3" x14ac:dyDescent="0.2">
      <c r="A52" s="45" t="str">
        <f>IF(OR('ENS Qualité'!$E$7=C52,'ENS Qualité'!$M$7=C52,'ENS Sécurité'!$E$7=C52,'ENS Environnement Energie'!$E$7=C52),BDD!B52,"")</f>
        <v/>
      </c>
      <c r="B52" s="55" t="s">
        <v>354</v>
      </c>
      <c r="C52" s="55" t="s">
        <v>148</v>
      </c>
    </row>
    <row r="53" spans="1:3" x14ac:dyDescent="0.2">
      <c r="A53" s="45" t="str">
        <f>IF(OR('ENS Qualité'!$E$7=C53,'ENS Qualité'!$M$7=C53,'ENS Sécurité'!$E$7=C53,'ENS Environnement Energie'!$E$7=C53),BDD!B53,"")</f>
        <v/>
      </c>
      <c r="B53" s="55" t="s">
        <v>261</v>
      </c>
      <c r="C53" s="55" t="s">
        <v>148</v>
      </c>
    </row>
    <row r="54" spans="1:3" x14ac:dyDescent="0.2">
      <c r="A54" s="50"/>
      <c r="B54" s="55"/>
      <c r="C54" s="55"/>
    </row>
    <row r="55" spans="1:3" x14ac:dyDescent="0.2">
      <c r="A55" s="45" t="str">
        <f>IF(OR('ENS Qualité'!$E$7=C55,'ENS Qualité'!$M$7=C55,'ENS Sécurité'!$E$7=C55,'ENS Environnement Energie'!$E$7=C55),BDD!B55,"")</f>
        <v/>
      </c>
      <c r="B55" s="58" t="s">
        <v>262</v>
      </c>
      <c r="C55" s="58" t="s">
        <v>155</v>
      </c>
    </row>
    <row r="56" spans="1:3" x14ac:dyDescent="0.2">
      <c r="A56" s="45" t="str">
        <f>IF(OR('ENS Qualité'!$E$7=C56,'ENS Qualité'!$M$7=C56,'ENS Sécurité'!$E$7=C56,'ENS Environnement Energie'!$E$7=C56),BDD!B56,"")</f>
        <v/>
      </c>
      <c r="B56" s="58" t="s">
        <v>263</v>
      </c>
      <c r="C56" s="58" t="s">
        <v>155</v>
      </c>
    </row>
    <row r="57" spans="1:3" x14ac:dyDescent="0.2">
      <c r="A57" s="45" t="str">
        <f>IF(OR('ENS Qualité'!$E$7=C57,'ENS Qualité'!$M$7=C57,'ENS Sécurité'!$E$7=C57,'ENS Environnement Energie'!$E$7=C57),BDD!B57,"")</f>
        <v/>
      </c>
      <c r="B57" s="58" t="s">
        <v>264</v>
      </c>
      <c r="C57" s="58" t="s">
        <v>155</v>
      </c>
    </row>
    <row r="58" spans="1:3" x14ac:dyDescent="0.2">
      <c r="A58" s="45" t="str">
        <f>IF(OR('ENS Qualité'!$E$7=C58,'ENS Qualité'!$M$7=C58,'ENS Sécurité'!$E$7=C58,'ENS Environnement Energie'!$E$7=C58),BDD!B58,"")</f>
        <v/>
      </c>
      <c r="B58" s="58" t="s">
        <v>265</v>
      </c>
      <c r="C58" s="58" t="s">
        <v>155</v>
      </c>
    </row>
    <row r="59" spans="1:3" x14ac:dyDescent="0.2">
      <c r="A59" s="45" t="str">
        <f>IF(OR('ENS Qualité'!$E$7=C59,'ENS Qualité'!$M$7=C59,'ENS Sécurité'!$E$7=C59,'ENS Environnement Energie'!$E$7=C59),BDD!B59,"")</f>
        <v/>
      </c>
      <c r="B59" s="58" t="s">
        <v>285</v>
      </c>
      <c r="C59" s="58" t="s">
        <v>155</v>
      </c>
    </row>
    <row r="60" spans="1:3" x14ac:dyDescent="0.2">
      <c r="A60" s="45" t="str">
        <f>IF(OR('ENS Qualité'!$E$7=C60,'ENS Qualité'!$M$7=C60,'ENS Sécurité'!$E$7=C60,'ENS Environnement Energie'!$E$7=C60),BDD!B60,"")</f>
        <v/>
      </c>
      <c r="B60" s="55" t="s">
        <v>266</v>
      </c>
      <c r="C60" s="55" t="s">
        <v>162</v>
      </c>
    </row>
    <row r="61" spans="1:3" x14ac:dyDescent="0.2">
      <c r="A61" s="45" t="str">
        <f>IF(OR('ENS Qualité'!$E$7=C61,'ENS Qualité'!$M$7=C61,'ENS Sécurité'!$E$7=C61,'ENS Environnement Energie'!$E$7=C61),BDD!B61,"")</f>
        <v/>
      </c>
      <c r="B61" s="55" t="s">
        <v>267</v>
      </c>
      <c r="C61" s="55" t="s">
        <v>162</v>
      </c>
    </row>
    <row r="62" spans="1:3" x14ac:dyDescent="0.2">
      <c r="A62" s="45" t="str">
        <f>IF(OR('ENS Qualité'!$E$7=C62,'ENS Qualité'!$M$7=C62,'ENS Sécurité'!$E$7=C62,'ENS Environnement Energie'!$E$7=C62),BDD!B62,"")</f>
        <v/>
      </c>
      <c r="B62" s="55" t="s">
        <v>268</v>
      </c>
      <c r="C62" s="55" t="s">
        <v>162</v>
      </c>
    </row>
    <row r="63" spans="1:3" x14ac:dyDescent="0.2">
      <c r="A63" s="45" t="str">
        <f>IF(OR('ENS Qualité'!$E$7=C63,'ENS Qualité'!$M$7=C63,'ENS Sécurité'!$E$7=C63,'ENS Environnement Energie'!$E$7=C63),BDD!B63,"")</f>
        <v/>
      </c>
      <c r="B63" s="55" t="s">
        <v>269</v>
      </c>
      <c r="C63" s="55" t="s">
        <v>162</v>
      </c>
    </row>
    <row r="64" spans="1:3" x14ac:dyDescent="0.2">
      <c r="A64" s="45" t="str">
        <f>IF(OR('ENS Qualité'!$E$7=C64,'ENS Qualité'!$M$7=C64,'ENS Sécurité'!$E$7=C64,'ENS Environnement Energie'!$E$7=C64),BDD!B64,"")</f>
        <v/>
      </c>
      <c r="B64" s="55" t="s">
        <v>270</v>
      </c>
      <c r="C64" s="55" t="s">
        <v>162</v>
      </c>
    </row>
    <row r="65" spans="1:3" x14ac:dyDescent="0.2">
      <c r="A65" s="45" t="str">
        <f>IF(OR('ENS Qualité'!$E$7=C65,'ENS Qualité'!$M$7=C65,'ENS Sécurité'!$E$7=C65,'ENS Environnement Energie'!$E$7=C65),BDD!B65,"")</f>
        <v/>
      </c>
      <c r="B65" s="55" t="s">
        <v>271</v>
      </c>
      <c r="C65" s="55" t="s">
        <v>162</v>
      </c>
    </row>
    <row r="66" spans="1:3" x14ac:dyDescent="0.2">
      <c r="A66" s="45" t="str">
        <f>IF(OR('ENS Qualité'!$E$7=C66,'ENS Qualité'!$M$7=C66,'ENS Sécurité'!$E$7=C66,'ENS Environnement Energie'!$E$7=C66),BDD!B66,"")</f>
        <v/>
      </c>
      <c r="B66" s="55" t="s">
        <v>272</v>
      </c>
      <c r="C66" s="55" t="s">
        <v>162</v>
      </c>
    </row>
    <row r="67" spans="1:3" x14ac:dyDescent="0.2">
      <c r="A67" s="45" t="str">
        <f>IF(OR('ENS Qualité'!$E$7=C67,'ENS Qualité'!$M$7=C67,'ENS Sécurité'!$E$7=C67,'ENS Environnement Energie'!$E$7=C67),BDD!B67,"")</f>
        <v/>
      </c>
      <c r="B67" s="58" t="s">
        <v>267</v>
      </c>
      <c r="C67" s="58" t="s">
        <v>168</v>
      </c>
    </row>
    <row r="68" spans="1:3" x14ac:dyDescent="0.2">
      <c r="A68" s="45" t="str">
        <f>IF(OR('ENS Qualité'!$E$7=C68,'ENS Qualité'!$M$7=C68,'ENS Sécurité'!$E$7=C68,'ENS Environnement Energie'!$E$7=C68),BDD!B68,"")</f>
        <v/>
      </c>
      <c r="B68" s="58" t="s">
        <v>273</v>
      </c>
      <c r="C68" s="58" t="s">
        <v>168</v>
      </c>
    </row>
    <row r="69" spans="1:3" x14ac:dyDescent="0.2">
      <c r="A69" s="45" t="str">
        <f>IF(OR('ENS Qualité'!$E$7=C69,'ENS Qualité'!$M$7=C69,'ENS Sécurité'!$E$7=C69,'ENS Environnement Energie'!$E$7=C69),BDD!B69,"")</f>
        <v/>
      </c>
      <c r="B69" s="58" t="s">
        <v>274</v>
      </c>
      <c r="C69" s="58" t="s">
        <v>168</v>
      </c>
    </row>
    <row r="70" spans="1:3" x14ac:dyDescent="0.2">
      <c r="A70" s="45" t="str">
        <f>IF(OR('ENS Qualité'!$E$7=C70,'ENS Qualité'!$M$7=C70,'ENS Sécurité'!$E$7=C70,'ENS Environnement Energie'!$E$7=C70),BDD!B70,"")</f>
        <v/>
      </c>
      <c r="B70" s="58" t="s">
        <v>275</v>
      </c>
      <c r="C70" s="60" t="s">
        <v>168</v>
      </c>
    </row>
    <row r="71" spans="1:3" x14ac:dyDescent="0.2">
      <c r="A71" s="45" t="str">
        <f>IF(OR('ENS Qualité'!$E$7=C71,'ENS Qualité'!$M$7=C71,'ENS Sécurité'!$E$7=C71,'ENS Environnement Energie'!$E$7=C71),BDD!B71,"")</f>
        <v/>
      </c>
      <c r="B71" s="58" t="s">
        <v>276</v>
      </c>
      <c r="C71" s="58" t="s">
        <v>168</v>
      </c>
    </row>
    <row r="72" spans="1:3" x14ac:dyDescent="0.2">
      <c r="A72" s="45" t="str">
        <f>IF(OR('ENS Qualité'!$E$7=C72,'ENS Qualité'!$M$7=C72,'ENS Sécurité'!$E$7=C72,'ENS Environnement Energie'!$E$7=C72),BDD!B72,"")</f>
        <v/>
      </c>
      <c r="B72" s="58" t="s">
        <v>277</v>
      </c>
      <c r="C72" s="58" t="s">
        <v>168</v>
      </c>
    </row>
    <row r="73" spans="1:3" x14ac:dyDescent="0.2">
      <c r="A73" s="45" t="str">
        <f>IF(OR('ENS Qualité'!$E$7=C73,'ENS Qualité'!$M$7=C73,'ENS Sécurité'!$E$7=C73,'ENS Environnement Energie'!$E$7=C73),BDD!B73,"")</f>
        <v/>
      </c>
      <c r="B73" s="58" t="s">
        <v>271</v>
      </c>
      <c r="C73" s="58" t="s">
        <v>168</v>
      </c>
    </row>
    <row r="74" spans="1:3" x14ac:dyDescent="0.2">
      <c r="A74" s="45" t="str">
        <f>IF(OR('ENS Qualité'!$E$7=C74,'ENS Qualité'!$M$7=C74,'ENS Sécurité'!$E$7=C74,'ENS Environnement Energie'!$E$7=C74),BDD!B74,"")</f>
        <v/>
      </c>
      <c r="B74" s="58" t="s">
        <v>278</v>
      </c>
      <c r="C74" s="58" t="s">
        <v>168</v>
      </c>
    </row>
    <row r="75" spans="1:3" x14ac:dyDescent="0.2">
      <c r="A75" s="45" t="str">
        <f>IF(OR('ENS Qualité'!$E$7=C75,'ENS Qualité'!$M$7=C75,'ENS Sécurité'!$E$7=C75,'ENS Environnement Energie'!$E$7=C75),BDD!B75,"")</f>
        <v/>
      </c>
      <c r="B75" s="58" t="s">
        <v>279</v>
      </c>
      <c r="C75" s="58" t="s">
        <v>168</v>
      </c>
    </row>
    <row r="76" spans="1:3" x14ac:dyDescent="0.2">
      <c r="A76" s="45" t="str">
        <f>IF(OR('ENS Qualité'!$E$7=C76,'ENS Qualité'!$M$7=C76,'ENS Sécurité'!$E$7=C76,'ENS Environnement Energie'!$E$7=C76),BDD!B76,"")</f>
        <v/>
      </c>
      <c r="B76" s="55" t="s">
        <v>280</v>
      </c>
      <c r="C76" s="55" t="s">
        <v>174</v>
      </c>
    </row>
    <row r="77" spans="1:3" x14ac:dyDescent="0.2">
      <c r="A77" s="45" t="str">
        <f>IF(OR('ENS Qualité'!$E$7=C77,'ENS Qualité'!$M$7=C77,'ENS Sécurité'!$E$7=C77,'ENS Environnement Energie'!$E$7=C77),BDD!B77,"")</f>
        <v/>
      </c>
      <c r="B77" s="55" t="s">
        <v>267</v>
      </c>
      <c r="C77" s="55" t="s">
        <v>174</v>
      </c>
    </row>
    <row r="78" spans="1:3" x14ac:dyDescent="0.2">
      <c r="A78" s="45" t="str">
        <f>IF(OR('ENS Qualité'!$E$7=C78,'ENS Qualité'!$M$7=C78,'ENS Sécurité'!$E$7=C78,'ENS Environnement Energie'!$E$7=C78),BDD!B78,"")</f>
        <v/>
      </c>
      <c r="B78" s="55" t="s">
        <v>271</v>
      </c>
      <c r="C78" s="55" t="s">
        <v>174</v>
      </c>
    </row>
    <row r="79" spans="1:3" x14ac:dyDescent="0.2">
      <c r="A79" s="45" t="str">
        <f>IF(OR('ENS Qualité'!$E$7=C79,'ENS Qualité'!$M$7=C79,'ENS Sécurité'!$E$7=C79,'ENS Environnement Energie'!$E$7=C79),BDD!B79,"")</f>
        <v/>
      </c>
      <c r="B79" s="58" t="s">
        <v>281</v>
      </c>
      <c r="C79" s="58" t="s">
        <v>179</v>
      </c>
    </row>
    <row r="80" spans="1:3" x14ac:dyDescent="0.2">
      <c r="A80" s="45" t="str">
        <f>IF(OR('ENS Qualité'!$E$7=C80,'ENS Qualité'!$M$7=C80,'ENS Sécurité'!$E$7=C80,'ENS Environnement Energie'!$E$7=C80),BDD!B80,"")</f>
        <v/>
      </c>
      <c r="B80" s="58" t="s">
        <v>285</v>
      </c>
      <c r="C80" s="58" t="s">
        <v>179</v>
      </c>
    </row>
    <row r="81" spans="1:6" x14ac:dyDescent="0.2">
      <c r="A81" s="45" t="str">
        <f>IF(OR('ENS Qualité'!$E$7=C81,'ENS Qualité'!$M$7=C81,'ENS Sécurité'!$E$7=C81,'ENS Environnement Energie'!$E$7=C81),BDD!B81,"")</f>
        <v/>
      </c>
      <c r="B81" s="55" t="s">
        <v>281</v>
      </c>
      <c r="C81" s="55" t="s">
        <v>184</v>
      </c>
    </row>
    <row r="82" spans="1:6" x14ac:dyDescent="0.2">
      <c r="A82" s="45" t="str">
        <f>IF(OR('ENS Qualité'!$E$7=C82,'ENS Qualité'!$M$7=C82,'ENS Sécurité'!$E$7=C82,'ENS Environnement Energie'!$E$7=C82),BDD!B82,"")</f>
        <v/>
      </c>
      <c r="B82" s="55" t="s">
        <v>282</v>
      </c>
      <c r="C82" s="55" t="s">
        <v>184</v>
      </c>
    </row>
    <row r="83" spans="1:6" x14ac:dyDescent="0.2">
      <c r="A83" s="45" t="str">
        <f>IF(OR('ENS Qualité'!$E$7=C83,'ENS Qualité'!$M$7=C83,'ENS Sécurité'!$E$7=C83,'ENS Environnement Energie'!$E$7=C83),BDD!B83,"")</f>
        <v/>
      </c>
      <c r="B83" s="55" t="s">
        <v>285</v>
      </c>
      <c r="C83" s="55" t="s">
        <v>184</v>
      </c>
    </row>
    <row r="84" spans="1:6" x14ac:dyDescent="0.2">
      <c r="A84" s="45" t="str">
        <f>IF(OR('ENS Qualité'!$E$7=C84,'ENS Qualité'!$M$7=C84,'ENS Sécurité'!$E$7=C84,'ENS Environnement Energie'!$E$7=C84),BDD!B84,"")</f>
        <v/>
      </c>
      <c r="B84" s="58" t="s">
        <v>281</v>
      </c>
      <c r="C84" s="58" t="s">
        <v>189</v>
      </c>
    </row>
    <row r="85" spans="1:6" x14ac:dyDescent="0.2">
      <c r="A85" s="45" t="str">
        <f>IF(OR('ENS Qualité'!$E$7=C85,'ENS Qualité'!$M$7=C85,'ENS Sécurité'!$E$7=C85,'ENS Environnement Energie'!$E$7=C85),BDD!B85,"")</f>
        <v/>
      </c>
      <c r="B85" s="58" t="s">
        <v>271</v>
      </c>
      <c r="C85" s="58" t="s">
        <v>189</v>
      </c>
    </row>
    <row r="86" spans="1:6" x14ac:dyDescent="0.2">
      <c r="A86" s="45" t="str">
        <f>IF(OR('ENS Qualité'!$E$7=C86,'ENS Qualité'!$M$7=C86,'ENS Sécurité'!$E$7=C86,'ENS Environnement Energie'!$E$7=C86),BDD!B86,"")</f>
        <v/>
      </c>
      <c r="B86" s="58" t="s">
        <v>283</v>
      </c>
      <c r="C86" s="58" t="s">
        <v>189</v>
      </c>
    </row>
    <row r="87" spans="1:6" x14ac:dyDescent="0.2">
      <c r="A87" s="45" t="str">
        <f>IF(OR('ENS Qualité'!$E$7=C87,'ENS Qualité'!$M$7=C87,'ENS Sécurité'!$E$7=C87,'ENS Environnement Energie'!$E$7=C87),BDD!B87,"")</f>
        <v/>
      </c>
      <c r="B87" s="58" t="s">
        <v>284</v>
      </c>
      <c r="C87" s="58" t="s">
        <v>189</v>
      </c>
    </row>
    <row r="88" spans="1:6" x14ac:dyDescent="0.2">
      <c r="A88" s="45" t="str">
        <f>IF(OR('ENS Qualité'!$E$7=C88,'ENS Qualité'!$M$7=C88,'ENS Sécurité'!$E$7=C88,'ENS Environnement Energie'!$E$7=C88),BDD!B88,"")</f>
        <v/>
      </c>
      <c r="B88" s="58" t="s">
        <v>285</v>
      </c>
      <c r="C88" s="58" t="s">
        <v>189</v>
      </c>
    </row>
    <row r="89" spans="1:6" x14ac:dyDescent="0.2">
      <c r="A89" s="45" t="str">
        <f>IF(OR('ENS Qualité'!$E$7=C89,'ENS Qualité'!$M$7=C89,'ENS Sécurité'!$E$7=C89,'ENS Environnement Energie'!$E$7=C89),BDD!B89,"")</f>
        <v/>
      </c>
      <c r="B89" s="55" t="s">
        <v>281</v>
      </c>
      <c r="C89" s="55" t="s">
        <v>194</v>
      </c>
    </row>
    <row r="90" spans="1:6" x14ac:dyDescent="0.2">
      <c r="A90" s="45" t="str">
        <f>IF(OR('ENS Qualité'!$E$7=C90,'ENS Qualité'!$M$7=C90,'ENS Sécurité'!$E$7=C90,'ENS Environnement Energie'!$E$7=C90),BDD!B90,"")</f>
        <v/>
      </c>
      <c r="B90" s="55" t="s">
        <v>285</v>
      </c>
      <c r="C90" s="55" t="s">
        <v>194</v>
      </c>
      <c r="F90" s="61"/>
    </row>
    <row r="91" spans="1:6" x14ac:dyDescent="0.2">
      <c r="A91" s="50"/>
      <c r="B91" s="55"/>
      <c r="C91" s="55"/>
      <c r="F91" s="61"/>
    </row>
    <row r="92" spans="1:6" x14ac:dyDescent="0.2">
      <c r="A92" s="45" t="str">
        <f>IF(OR('ENS Qualité'!$E$7=C92,'ENS Qualité'!$M$7=C92,'ENS Sécurité'!$E$7=C92,'ENS Environnement Energie'!$E$7=C92),BDD!B92,"")</f>
        <v/>
      </c>
      <c r="B92" s="58" t="s">
        <v>281</v>
      </c>
      <c r="C92" s="58" t="s">
        <v>198</v>
      </c>
      <c r="F92" s="61"/>
    </row>
    <row r="93" spans="1:6" x14ac:dyDescent="0.2">
      <c r="A93" s="45" t="str">
        <f>IF(OR('ENS Qualité'!$E$7=C93,'ENS Qualité'!$M$7=C93,'ENS Sécurité'!$E$7=C93,'ENS Environnement Energie'!$E$7=C93),BDD!B93,"")</f>
        <v/>
      </c>
      <c r="B93" s="58" t="s">
        <v>285</v>
      </c>
      <c r="C93" s="58" t="s">
        <v>198</v>
      </c>
    </row>
    <row r="94" spans="1:6" x14ac:dyDescent="0.2">
      <c r="A94" s="45" t="str">
        <f>IF(OR('ENS Qualité'!$E$7=C94,'ENS Qualité'!$M$7=C94,'ENS Sécurité'!$E$7=C94,'ENS Environnement Energie'!$E$7=C94),BDD!B94,"")</f>
        <v/>
      </c>
      <c r="B94" s="58" t="s">
        <v>286</v>
      </c>
      <c r="C94" s="58" t="s">
        <v>198</v>
      </c>
      <c r="F94" s="61"/>
    </row>
    <row r="95" spans="1:6" x14ac:dyDescent="0.2">
      <c r="A95" s="45" t="str">
        <f>IF(OR('ENS Qualité'!$E$7=C95,'ENS Qualité'!$M$7=C95,'ENS Sécurité'!$E$7=C95,'ENS Environnement Energie'!$E$7=C95),BDD!B95,"")</f>
        <v/>
      </c>
      <c r="B95" s="58" t="s">
        <v>271</v>
      </c>
      <c r="C95" s="58" t="s">
        <v>198</v>
      </c>
      <c r="F95" s="61"/>
    </row>
    <row r="96" spans="1:6" x14ac:dyDescent="0.2">
      <c r="A96" s="45" t="str">
        <f>IF(OR('ENS Qualité'!$E$7=C96,'ENS Qualité'!$M$7=C96,'ENS Sécurité'!$E$7=C96,'ENS Environnement Energie'!$E$7=C96),BDD!B96,"")</f>
        <v/>
      </c>
      <c r="B96" s="55" t="s">
        <v>281</v>
      </c>
      <c r="C96" s="55" t="s">
        <v>201</v>
      </c>
      <c r="F96" s="61"/>
    </row>
    <row r="97" spans="1:6" x14ac:dyDescent="0.2">
      <c r="A97" s="45" t="str">
        <f>IF(OR('ENS Qualité'!$E$7=C97,'ENS Qualité'!$M$7=C97,'ENS Sécurité'!$E$7=C97,'ENS Environnement Energie'!$E$7=C97),BDD!B97,"")</f>
        <v/>
      </c>
      <c r="B97" s="55" t="s">
        <v>285</v>
      </c>
      <c r="C97" s="55" t="s">
        <v>201</v>
      </c>
      <c r="F97" s="61"/>
    </row>
    <row r="98" spans="1:6" x14ac:dyDescent="0.2">
      <c r="A98" s="45" t="str">
        <f>IF(OR('ENS Qualité'!$E$7=C98,'ENS Qualité'!$M$7=C98,'ENS Sécurité'!$E$7=C98,'ENS Environnement Energie'!$E$7=C98),BDD!B98,"")</f>
        <v/>
      </c>
      <c r="B98" s="55" t="s">
        <v>287</v>
      </c>
      <c r="C98" s="55" t="s">
        <v>201</v>
      </c>
    </row>
    <row r="99" spans="1:6" x14ac:dyDescent="0.2">
      <c r="A99" s="45" t="str">
        <f>IF(OR('ENS Qualité'!$E$7=C99,'ENS Qualité'!$M$7=C99,'ENS Sécurité'!$E$7=C99,'ENS Environnement Energie'!$E$7=C99),BDD!B99,"")</f>
        <v/>
      </c>
      <c r="B99" s="58" t="s">
        <v>281</v>
      </c>
      <c r="C99" s="58" t="s">
        <v>288</v>
      </c>
    </row>
    <row r="100" spans="1:6" x14ac:dyDescent="0.2">
      <c r="A100" s="45" t="str">
        <f>IF(OR('ENS Qualité'!$E$7=C100,'ENS Qualité'!$M$7=C100,'ENS Sécurité'!$E$7=C100,'ENS Environnement Energie'!$E$7=C100),BDD!B100,"")</f>
        <v/>
      </c>
      <c r="B100" s="58" t="s">
        <v>285</v>
      </c>
      <c r="C100" s="58" t="s">
        <v>288</v>
      </c>
    </row>
    <row r="101" spans="1:6" x14ac:dyDescent="0.2">
      <c r="A101" s="45" t="str">
        <f>IF(OR('ENS Qualité'!$E$7=C101,'ENS Qualité'!$M$7=C101,'ENS Sécurité'!$E$7=C101,'ENS Environnement Energie'!$E$7=C101),BDD!B101,"")</f>
        <v/>
      </c>
      <c r="B101" s="58" t="s">
        <v>289</v>
      </c>
      <c r="C101" s="58" t="s">
        <v>288</v>
      </c>
    </row>
    <row r="102" spans="1:6" x14ac:dyDescent="0.2">
      <c r="A102" s="45" t="str">
        <f>IF(OR('ENS Qualité'!$E$7=C102,'ENS Qualité'!$M$7=C102,'ENS Sécurité'!$E$7=C102,'ENS Environnement Energie'!$E$7=C102),BDD!B102,"")</f>
        <v/>
      </c>
      <c r="B102" s="55" t="s">
        <v>281</v>
      </c>
      <c r="C102" s="55" t="s">
        <v>290</v>
      </c>
      <c r="F102" s="61"/>
    </row>
    <row r="103" spans="1:6" x14ac:dyDescent="0.2">
      <c r="A103" s="45" t="str">
        <f>IF(OR('ENS Qualité'!$E$7=C103,'ENS Qualité'!$M$7=C103,'ENS Sécurité'!$E$7=C103,'ENS Environnement Energie'!$E$7=C103),BDD!B103,"")</f>
        <v/>
      </c>
      <c r="B103" s="55" t="s">
        <v>285</v>
      </c>
      <c r="C103" s="55" t="s">
        <v>290</v>
      </c>
      <c r="F103" s="61"/>
    </row>
    <row r="104" spans="1:6" x14ac:dyDescent="0.2">
      <c r="A104" s="45" t="str">
        <f>IF(OR('ENS Qualité'!$E$7=C104,'ENS Qualité'!$M$7=C104,'ENS Sécurité'!$E$7=C104,'ENS Environnement Energie'!$E$7=C104),BDD!B104,"")</f>
        <v/>
      </c>
      <c r="B104" s="55" t="s">
        <v>291</v>
      </c>
      <c r="C104" s="55" t="s">
        <v>290</v>
      </c>
      <c r="F104" s="61"/>
    </row>
    <row r="105" spans="1:6" x14ac:dyDescent="0.2">
      <c r="A105" s="45" t="str">
        <f>IF(OR('ENS Qualité'!$E$7=C105,'ENS Qualité'!$M$7=C105,'ENS Sécurité'!$E$7=C105,'ENS Environnement Energie'!$E$7=C105),BDD!B105,"")</f>
        <v/>
      </c>
      <c r="B105" s="58" t="s">
        <v>293</v>
      </c>
      <c r="C105" s="58" t="s">
        <v>205</v>
      </c>
      <c r="F105" s="61"/>
    </row>
    <row r="106" spans="1:6" x14ac:dyDescent="0.2">
      <c r="A106" s="45" t="str">
        <f>IF(OR('ENS Qualité'!$E$7=C106,'ENS Qualité'!$M$7=C106,'ENS Sécurité'!$E$7=C106,'ENS Environnement Energie'!$E$7=C106),BDD!B106,"")</f>
        <v/>
      </c>
      <c r="B106" s="58" t="s">
        <v>292</v>
      </c>
      <c r="C106" s="58" t="s">
        <v>205</v>
      </c>
    </row>
    <row r="107" spans="1:6" x14ac:dyDescent="0.2">
      <c r="A107" s="45" t="str">
        <f>IF(OR('ENS Qualité'!$E$7=C107,'ENS Qualité'!$M$7=C107,'ENS Sécurité'!$E$7=C107,'ENS Environnement Energie'!$E$7=C107),BDD!B107,"")</f>
        <v/>
      </c>
      <c r="B107" s="58" t="s">
        <v>294</v>
      </c>
      <c r="C107" s="58" t="s">
        <v>205</v>
      </c>
    </row>
    <row r="108" spans="1:6" x14ac:dyDescent="0.2">
      <c r="A108" s="50"/>
      <c r="B108" s="58"/>
      <c r="C108" s="58"/>
    </row>
    <row r="109" spans="1:6" x14ac:dyDescent="0.2">
      <c r="A109" s="45" t="str">
        <f>IF(OR('ENS Qualité'!$E$7=C109,'ENS Qualité'!$M$7=C109,'ENS Sécurité'!$E$7=C109,'ENS Environnement Energie'!$E$7=C109),BDD!B109,"")</f>
        <v/>
      </c>
      <c r="B109" s="55" t="s">
        <v>295</v>
      </c>
      <c r="C109" s="55" t="s">
        <v>208</v>
      </c>
    </row>
    <row r="110" spans="1:6" x14ac:dyDescent="0.2">
      <c r="A110" s="45" t="str">
        <f>IF(OR('ENS Qualité'!$E$7=C110,'ENS Qualité'!$M$7=C110,'ENS Sécurité'!$E$7=C110,'ENS Environnement Energie'!$E$7=C110),BDD!B110,"")</f>
        <v/>
      </c>
      <c r="B110" s="55" t="s">
        <v>296</v>
      </c>
      <c r="C110" s="55" t="s">
        <v>208</v>
      </c>
    </row>
    <row r="111" spans="1:6" x14ac:dyDescent="0.2">
      <c r="A111" s="50"/>
      <c r="B111" s="55"/>
      <c r="C111" s="55"/>
    </row>
    <row r="112" spans="1:6" x14ac:dyDescent="0.2">
      <c r="A112" s="45" t="str">
        <f>IF(OR('ENS Qualité'!$E$7=C112,'ENS Qualité'!$M$7=C112,'ENS Sécurité'!$E$7=C112,'ENS Environnement Energie'!$E$7=C112),BDD!B112,"")</f>
        <v/>
      </c>
      <c r="B112" s="58" t="s">
        <v>297</v>
      </c>
      <c r="C112" s="58" t="s">
        <v>212</v>
      </c>
      <c r="F112" s="61"/>
    </row>
    <row r="113" spans="1:7" x14ac:dyDescent="0.2">
      <c r="A113" s="45" t="str">
        <f>IF(OR('ENS Qualité'!$E$7=C113,'ENS Qualité'!$M$7=C113,'ENS Sécurité'!$E$7=C113,'ENS Environnement Energie'!$E$7=C113),BDD!B113,"")</f>
        <v/>
      </c>
      <c r="B113" s="58" t="s">
        <v>298</v>
      </c>
      <c r="C113" s="58" t="s">
        <v>212</v>
      </c>
      <c r="F113" s="61"/>
    </row>
    <row r="114" spans="1:7" x14ac:dyDescent="0.2">
      <c r="A114" s="45" t="str">
        <f>IF(OR('ENS Qualité'!$E$7=C114,'ENS Qualité'!$M$7=C114,'ENS Sécurité'!$E$7=C114,'ENS Environnement Energie'!$E$7=C114),BDD!B114,"")</f>
        <v/>
      </c>
      <c r="B114" s="55" t="s">
        <v>299</v>
      </c>
      <c r="C114" s="55" t="s">
        <v>215</v>
      </c>
      <c r="F114" s="61"/>
    </row>
    <row r="115" spans="1:7" x14ac:dyDescent="0.2">
      <c r="A115" s="45" t="str">
        <f>IF(OR('ENS Qualité'!$E$7=C115,'ENS Qualité'!$M$7=C115,'ENS Sécurité'!$E$7=C115,'ENS Environnement Energie'!$E$7=C115),BDD!B115,"")</f>
        <v/>
      </c>
      <c r="B115" s="55" t="s">
        <v>300</v>
      </c>
      <c r="C115" s="55" t="s">
        <v>215</v>
      </c>
    </row>
    <row r="116" spans="1:7" x14ac:dyDescent="0.2">
      <c r="A116" s="45" t="str">
        <f>IF(OR('ENS Qualité'!$E$7=C116,'ENS Qualité'!$M$7=C116,'ENS Sécurité'!$E$7=C116,'ENS Environnement Energie'!$E$7=C116),BDD!B116,"")</f>
        <v/>
      </c>
      <c r="B116" s="55" t="s">
        <v>301</v>
      </c>
      <c r="C116" s="55" t="s">
        <v>215</v>
      </c>
    </row>
    <row r="117" spans="1:7" x14ac:dyDescent="0.2">
      <c r="A117" s="45" t="str">
        <f>IF(OR('ENS Qualité'!$E$7=C117,'ENS Qualité'!$M$7=C117,'ENS Sécurité'!$E$7=C117,'ENS Environnement Energie'!$E$7=C117),BDD!B117,"")</f>
        <v/>
      </c>
      <c r="B117" s="55" t="s">
        <v>302</v>
      </c>
      <c r="C117" s="55" t="s">
        <v>215</v>
      </c>
    </row>
    <row r="118" spans="1:7" x14ac:dyDescent="0.2">
      <c r="A118" s="45" t="str">
        <f>IF(OR('ENS Qualité'!$E$7=C118,'ENS Qualité'!$M$7=C118,'ENS Sécurité'!$E$7=C118,'ENS Environnement Energie'!$E$7=C118),BDD!B118,"")</f>
        <v/>
      </c>
      <c r="B118" s="55" t="s">
        <v>303</v>
      </c>
      <c r="C118" s="55" t="s">
        <v>215</v>
      </c>
    </row>
    <row r="119" spans="1:7" x14ac:dyDescent="0.2">
      <c r="A119" s="45" t="str">
        <f>IF(OR('ENS Qualité'!$E$7=C119,'ENS Qualité'!$M$7=C119,'ENS Sécurité'!$E$7=C119,'ENS Environnement Energie'!$E$7=C119),BDD!B119,"")</f>
        <v/>
      </c>
      <c r="B119" s="55" t="s">
        <v>304</v>
      </c>
      <c r="C119" s="55" t="s">
        <v>215</v>
      </c>
    </row>
    <row r="120" spans="1:7" x14ac:dyDescent="0.2">
      <c r="A120" s="45" t="str">
        <f>IF(OR('ENS Qualité'!$E$7=C120,'ENS Qualité'!$M$7=C120,'ENS Sécurité'!$E$7=C120,'ENS Environnement Energie'!$E$7=C120),BDD!B120,"")</f>
        <v/>
      </c>
      <c r="B120" s="55" t="s">
        <v>281</v>
      </c>
      <c r="C120" s="55" t="s">
        <v>215</v>
      </c>
    </row>
    <row r="121" spans="1:7" x14ac:dyDescent="0.2">
      <c r="A121" s="45" t="str">
        <f>IF(OR('ENS Qualité'!$E$7=C121,'ENS Qualité'!$M$7=C121,'ENS Sécurité'!$E$7=C121,'ENS Environnement Energie'!$E$7=C121),BDD!B121,"")</f>
        <v/>
      </c>
      <c r="B121" s="58" t="s">
        <v>305</v>
      </c>
      <c r="C121" s="58" t="s">
        <v>219</v>
      </c>
    </row>
    <row r="122" spans="1:7" x14ac:dyDescent="0.2">
      <c r="A122" s="45" t="str">
        <f>IF(OR(COUNTIF('ENS Qualité'!$E$58,"*Qualité*")),BDD!B122,"")</f>
        <v/>
      </c>
      <c r="B122" s="46" t="s">
        <v>301</v>
      </c>
      <c r="C122" s="45"/>
    </row>
    <row r="123" spans="1:7" x14ac:dyDescent="0.2">
      <c r="A123" s="45" t="str">
        <f>IF(OR(COUNTIF('ENS Qualité'!$E$58,"*Qualité*")),BDD!B123,"")</f>
        <v/>
      </c>
      <c r="B123" s="46" t="s">
        <v>306</v>
      </c>
      <c r="C123" s="45"/>
    </row>
    <row r="124" spans="1:7" x14ac:dyDescent="0.2">
      <c r="A124" s="45" t="str">
        <f>IF(OR(COUNTIF('ENS Qualité'!$E$58,"*Qualité*")),BDD!B124,"")</f>
        <v/>
      </c>
      <c r="B124" s="46" t="s">
        <v>307</v>
      </c>
      <c r="C124" s="45"/>
    </row>
    <row r="125" spans="1:7" x14ac:dyDescent="0.2">
      <c r="A125" s="45" t="str">
        <f>IF(OR(COUNTIF('ENS Qualité'!$E$58,"*Qualité*")),BDD!B125,"")</f>
        <v/>
      </c>
      <c r="B125" s="46" t="s">
        <v>308</v>
      </c>
      <c r="C125" s="45"/>
      <c r="F125" s="61"/>
      <c r="G125" s="62"/>
    </row>
    <row r="126" spans="1:7" x14ac:dyDescent="0.2">
      <c r="A126" s="45" t="str">
        <f>IF(OR(COUNTIF('ENS Qualité'!$E$58,"*Qualité*")),BDD!B126,"")</f>
        <v/>
      </c>
      <c r="B126" s="46" t="s">
        <v>358</v>
      </c>
      <c r="C126" s="45"/>
      <c r="F126" s="61"/>
      <c r="G126" s="62"/>
    </row>
    <row r="127" spans="1:7" x14ac:dyDescent="0.2">
      <c r="A127" s="45" t="str">
        <f>IF(OR(COUNTIF('ENS Qualité'!$E$58,"*Environnement/Energie*")),BDD!B127,"")</f>
        <v/>
      </c>
      <c r="B127" s="46" t="s">
        <v>309</v>
      </c>
      <c r="C127" s="46" t="s">
        <v>233</v>
      </c>
      <c r="F127" s="61"/>
      <c r="G127" s="62"/>
    </row>
    <row r="128" spans="1:7" x14ac:dyDescent="0.2">
      <c r="A128" s="45" t="str">
        <f>IF(OR(COUNTIF('ENS Qualité'!$E$58,"*Environnement/Energie*")),BDD!B128,"")</f>
        <v/>
      </c>
      <c r="B128" s="46" t="s">
        <v>310</v>
      </c>
      <c r="C128" s="46" t="s">
        <v>233</v>
      </c>
      <c r="F128" s="61"/>
      <c r="G128" s="62"/>
    </row>
    <row r="129" spans="1:7" x14ac:dyDescent="0.2">
      <c r="A129" s="45" t="str">
        <f>IF(OR(COUNTIF('ENS Qualité'!$E$58,"*Environnement/Energie*")),BDD!B129,"")</f>
        <v/>
      </c>
      <c r="B129" s="46" t="s">
        <v>289</v>
      </c>
      <c r="C129" s="46" t="s">
        <v>233</v>
      </c>
      <c r="F129" s="61"/>
      <c r="G129" s="62"/>
    </row>
    <row r="130" spans="1:7" x14ac:dyDescent="0.2">
      <c r="A130" s="45" t="str">
        <f>IF(OR('ENS Qualité'!$E$7="Fabrication PPNC",'ENS Qualité'!$E$7="Affinage PPNC",'ENS Qualité'!$E$7="Conditionnement PPNC",'ENS Qualité'!$E$7="Laboratoire",'ENS Qualité'!$E$7="Expéditions PPNC",'ENS Qualité'!$M$7="Fabrication PPNC",'ENS Qualité'!$M$7="Affinage PPNC",'ENS Qualité'!$M$7="Conditionnement PPNC",'ENS Qualité'!$M$7="Laboratoire",'ENS Qualité'!$M$7="Expéditions PPNC",'ENS Sécurité'!$E$7="Fabrication PPNC",'ENS Sécurité'!$E$7="Affinage PPNC",'ENS Sécurité'!$E$7="Conditionnement PPNC",'ENS Sécurité'!$E$7="Laboratoire",'ENS Sécurité'!$E$7="Expéditions PPNC",'ENS Environnement Energie'!$E$7="Fabrication PPNC",'ENS Environnement Energie'!$E$7="Affinage PPNC",'ENS Environnement Energie'!$E$7="Conditionnement PPNC",'ENS Environnement Energie'!$E$7="Laboratoire",'ENS Environnement Energie'!$E$7="Expéditions PPNC"),B130,"")</f>
        <v/>
      </c>
      <c r="B130" s="46" t="s">
        <v>300</v>
      </c>
      <c r="C130" s="46" t="s">
        <v>311</v>
      </c>
      <c r="F130" s="61"/>
      <c r="G130" s="62"/>
    </row>
    <row r="131" spans="1:7" x14ac:dyDescent="0.2">
      <c r="A131" s="45" t="str">
        <f>IF(OR('ENS Qualité'!$E$7="Fabrication PPC",'ENS Qualité'!$E$7="Affinage PPC",'ENS Qualité'!$E$7="Conditionnement PPC",'ENS Qualité'!$E$7="REPC",'ENS Qualité'!$E$7="Magasin",'ENS Qualité'!$E$7="Expéditions PPC",'ENS Qualité'!$M$7="Fabrication PPC",'ENS Qualité'!$M$7="Affinage PPC",'ENS Qualité'!$M$7="Conditionnement PPC",'ENS Qualité'!$M$7="REPC",'ENS Qualité'!$M$7="Magasin",'ENS Qualité'!$M$7="Expéditions PPC",'ENS Sécurité'!$E$7="Fabrication PPC",'ENS Sécurité'!$E$7="Affinage PPC",'ENS Sécurité'!$E$7="Conditionnement PPC",'ENS Sécurité'!$E$7="REPC",'ENS Sécurité'!$E$7="Magasin",'ENS Sécurité'!$E$7="Expéditions PPC",'ENS Environnement Energie'!$E$7="Fabrication PPC",'ENS Environnement Energie'!$E$7="Affinage PPC",'ENS Environnement Energie'!$E$7="Conditionnement PPC",'ENS Environnement Energie'!$E$7="REPC",'ENS Environnement Energie'!$E$7="Magasin",'ENS Environnement Energie'!$E$7="Expéditions PPC"),B131,"")</f>
        <v/>
      </c>
      <c r="B131" s="46" t="s">
        <v>299</v>
      </c>
      <c r="C131" s="46" t="s">
        <v>312</v>
      </c>
      <c r="F131" s="61"/>
      <c r="G131" s="62"/>
    </row>
    <row r="132" spans="1:7" x14ac:dyDescent="0.2">
      <c r="F132" s="61"/>
      <c r="G132" s="62"/>
    </row>
    <row r="133" spans="1:7" x14ac:dyDescent="0.2">
      <c r="F133" s="61"/>
      <c r="G133" s="62"/>
    </row>
    <row r="134" spans="1:7" x14ac:dyDescent="0.2">
      <c r="G134" s="62"/>
    </row>
    <row r="135" spans="1:7" x14ac:dyDescent="0.2">
      <c r="G135" s="62"/>
    </row>
    <row r="136" spans="1:7" x14ac:dyDescent="0.2">
      <c r="G136" s="62"/>
    </row>
    <row r="137" spans="1:7" x14ac:dyDescent="0.2">
      <c r="F137" s="61"/>
      <c r="G137" s="62"/>
    </row>
    <row r="138" spans="1:7" x14ac:dyDescent="0.2">
      <c r="F138" s="61"/>
      <c r="G138" s="62"/>
    </row>
    <row r="139" spans="1:7" x14ac:dyDescent="0.2">
      <c r="F139" s="61"/>
      <c r="G139" s="62"/>
    </row>
    <row r="140" spans="1:7" x14ac:dyDescent="0.2">
      <c r="G140" s="62"/>
    </row>
    <row r="141" spans="1:7" x14ac:dyDescent="0.2">
      <c r="G141" s="62"/>
    </row>
    <row r="142" spans="1:7" x14ac:dyDescent="0.2">
      <c r="G142" s="62"/>
    </row>
    <row r="143" spans="1:7" x14ac:dyDescent="0.2">
      <c r="G143" s="62"/>
    </row>
    <row r="144" spans="1:7" x14ac:dyDescent="0.2">
      <c r="F144" s="61"/>
      <c r="G144" s="62"/>
    </row>
    <row r="145" spans="6:7" x14ac:dyDescent="0.2">
      <c r="F145" s="61"/>
      <c r="G145" s="62"/>
    </row>
    <row r="146" spans="6:7" x14ac:dyDescent="0.2">
      <c r="F146" s="61"/>
      <c r="G146" s="62"/>
    </row>
    <row r="147" spans="6:7" x14ac:dyDescent="0.2">
      <c r="F147" s="61"/>
      <c r="G147" s="62"/>
    </row>
    <row r="148" spans="6:7" x14ac:dyDescent="0.2">
      <c r="F148" s="61"/>
      <c r="G148" s="62"/>
    </row>
    <row r="149" spans="6:7" x14ac:dyDescent="0.2">
      <c r="F149" s="61"/>
      <c r="G149" s="62"/>
    </row>
    <row r="150" spans="6:7" x14ac:dyDescent="0.2">
      <c r="F150" s="61"/>
      <c r="G150" s="62"/>
    </row>
    <row r="151" spans="6:7" x14ac:dyDescent="0.2">
      <c r="F151" s="61"/>
      <c r="G151" s="62"/>
    </row>
    <row r="152" spans="6:7" x14ac:dyDescent="0.2">
      <c r="F152" s="61"/>
      <c r="G152" s="62"/>
    </row>
    <row r="153" spans="6:7" x14ac:dyDescent="0.2">
      <c r="F153" s="61"/>
      <c r="G153" s="62"/>
    </row>
    <row r="154" spans="6:7" x14ac:dyDescent="0.2">
      <c r="F154" s="61"/>
      <c r="G154" s="62"/>
    </row>
    <row r="155" spans="6:7" x14ac:dyDescent="0.2">
      <c r="F155" s="61"/>
      <c r="G155" s="62"/>
    </row>
    <row r="156" spans="6:7" x14ac:dyDescent="0.2">
      <c r="F156" s="61"/>
      <c r="G156" s="62"/>
    </row>
    <row r="157" spans="6:7" x14ac:dyDescent="0.2">
      <c r="F157" s="61"/>
      <c r="G157" s="62"/>
    </row>
    <row r="158" spans="6:7" x14ac:dyDescent="0.2">
      <c r="F158" s="61"/>
      <c r="G158" s="62"/>
    </row>
    <row r="159" spans="6:7" x14ac:dyDescent="0.2">
      <c r="F159" s="61"/>
      <c r="G159" s="62"/>
    </row>
    <row r="160" spans="6:7" x14ac:dyDescent="0.2">
      <c r="F160" s="61"/>
      <c r="G160" s="62"/>
    </row>
    <row r="161" spans="6:7" x14ac:dyDescent="0.2">
      <c r="F161" s="61"/>
      <c r="G161" s="62"/>
    </row>
    <row r="162" spans="6:7" x14ac:dyDescent="0.2">
      <c r="F162" s="61"/>
      <c r="G162" s="62"/>
    </row>
    <row r="163" spans="6:7" x14ac:dyDescent="0.2">
      <c r="F163" s="61"/>
      <c r="G163" s="62"/>
    </row>
    <row r="164" spans="6:7" x14ac:dyDescent="0.2">
      <c r="F164" s="61"/>
      <c r="G164" s="62"/>
    </row>
    <row r="165" spans="6:7" x14ac:dyDescent="0.2">
      <c r="F165" s="61"/>
      <c r="G165" s="62"/>
    </row>
    <row r="166" spans="6:7" x14ac:dyDescent="0.2">
      <c r="F166" s="61"/>
      <c r="G166" s="62"/>
    </row>
    <row r="167" spans="6:7" x14ac:dyDescent="0.2">
      <c r="F167" s="61"/>
      <c r="G167" s="62"/>
    </row>
    <row r="168" spans="6:7" x14ac:dyDescent="0.2">
      <c r="F168" s="61"/>
      <c r="G168" s="62"/>
    </row>
    <row r="169" spans="6:7" x14ac:dyDescent="0.2">
      <c r="F169" s="61"/>
      <c r="G169" s="62"/>
    </row>
    <row r="170" spans="6:7" x14ac:dyDescent="0.2">
      <c r="F170" s="61"/>
      <c r="G170" s="62"/>
    </row>
    <row r="171" spans="6:7" x14ac:dyDescent="0.2">
      <c r="F171" s="61"/>
      <c r="G171" s="62"/>
    </row>
    <row r="172" spans="6:7" x14ac:dyDescent="0.2">
      <c r="F172" s="61"/>
      <c r="G172" s="62"/>
    </row>
    <row r="173" spans="6:7" x14ac:dyDescent="0.2">
      <c r="F173" s="61"/>
      <c r="G173" s="62"/>
    </row>
    <row r="174" spans="6:7" x14ac:dyDescent="0.2">
      <c r="F174" s="61"/>
      <c r="G174" s="62"/>
    </row>
    <row r="175" spans="6:7" x14ac:dyDescent="0.2">
      <c r="F175" s="61"/>
      <c r="G175" s="62"/>
    </row>
    <row r="176" spans="6:7" x14ac:dyDescent="0.2">
      <c r="F176" s="61"/>
      <c r="G176" s="62"/>
    </row>
    <row r="177" spans="6:7" x14ac:dyDescent="0.2">
      <c r="F177" s="61"/>
      <c r="G177" s="62"/>
    </row>
    <row r="178" spans="6:7" x14ac:dyDescent="0.2">
      <c r="F178" s="61"/>
      <c r="G178" s="62"/>
    </row>
    <row r="179" spans="6:7" x14ac:dyDescent="0.2">
      <c r="F179" s="61"/>
      <c r="G179" s="62"/>
    </row>
    <row r="180" spans="6:7" x14ac:dyDescent="0.2">
      <c r="F180" s="61"/>
      <c r="G180" s="62"/>
    </row>
    <row r="181" spans="6:7" x14ac:dyDescent="0.2">
      <c r="F181" s="61"/>
      <c r="G181" s="62"/>
    </row>
    <row r="182" spans="6:7" x14ac:dyDescent="0.2">
      <c r="F182" s="61"/>
      <c r="G182" s="62"/>
    </row>
    <row r="183" spans="6:7" x14ac:dyDescent="0.2">
      <c r="F183" s="61"/>
      <c r="G183" s="62"/>
    </row>
    <row r="184" spans="6:7" x14ac:dyDescent="0.2">
      <c r="F184" s="61"/>
      <c r="G184" s="62"/>
    </row>
    <row r="210" spans="3:3" x14ac:dyDescent="0.2">
      <c r="C210" s="62"/>
    </row>
    <row r="211" spans="3:3" x14ac:dyDescent="0.2">
      <c r="C211" s="62"/>
    </row>
    <row r="212" spans="3:3" x14ac:dyDescent="0.2">
      <c r="C212" s="62"/>
    </row>
    <row r="213" spans="3:3" x14ac:dyDescent="0.2">
      <c r="C213" s="62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298A22A0322C84C9330E9252AE6E6AD" ma:contentTypeVersion="17" ma:contentTypeDescription="Crée un document." ma:contentTypeScope="" ma:versionID="be4dce9436a16106b87d0fc04927e2bc">
  <xsd:schema xmlns:xsd="http://www.w3.org/2001/XMLSchema" xmlns:xs="http://www.w3.org/2001/XMLSchema" xmlns:p="http://schemas.microsoft.com/office/2006/metadata/properties" xmlns:ns2="c074875d-961a-4faf-bf8d-cb3888f08004" xmlns:ns3="8808e38e-3674-4664-9b57-098b579dda9b" targetNamespace="http://schemas.microsoft.com/office/2006/metadata/properties" ma:root="true" ma:fieldsID="956cda1e2315fbbc39711b56be50d545" ns2:_="" ns3:_="">
    <xsd:import namespace="c074875d-961a-4faf-bf8d-cb3888f08004"/>
    <xsd:import namespace="8808e38e-3674-4664-9b57-098b579dda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4875d-961a-4faf-bf8d-cb3888f080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2aff396b-27bd-4055-9767-7246aec6e8c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08e38e-3674-4664-9b57-098b579dda9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74f4dfd-27ad-4284-a376-60a2319ff17b}" ma:internalName="TaxCatchAll" ma:showField="CatchAllData" ma:web="8808e38e-3674-4664-9b57-098b579dda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74875d-961a-4faf-bf8d-cb3888f08004">
      <Terms xmlns="http://schemas.microsoft.com/office/infopath/2007/PartnerControls"/>
    </lcf76f155ced4ddcb4097134ff3c332f>
    <TaxCatchAll xmlns="8808e38e-3674-4664-9b57-098b579dda9b" xsi:nil="true"/>
  </documentManagement>
</p:properties>
</file>

<file path=customXml/itemProps1.xml><?xml version="1.0" encoding="utf-8"?>
<ds:datastoreItem xmlns:ds="http://schemas.openxmlformats.org/officeDocument/2006/customXml" ds:itemID="{BD168432-5AD9-47E7-AE61-375DF94123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74875d-961a-4faf-bf8d-cb3888f08004"/>
    <ds:schemaRef ds:uri="8808e38e-3674-4664-9b57-098b579dda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2069AE-9BC7-4A3D-A96F-C6DBDF826C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7DC976-490E-4689-8E71-21085CEE3514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c074875d-961a-4faf-bf8d-cb3888f08004"/>
    <ds:schemaRef ds:uri="8808e38e-3674-4664-9b57-098b579dda9b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13</vt:i4>
      </vt:variant>
    </vt:vector>
  </HeadingPairs>
  <TitlesOfParts>
    <vt:vector size="18" baseType="lpstr">
      <vt:lpstr>ENS Qualité</vt:lpstr>
      <vt:lpstr>ENS Sécurité</vt:lpstr>
      <vt:lpstr>ENS Environnement Energie</vt:lpstr>
      <vt:lpstr>BDD1</vt:lpstr>
      <vt:lpstr>BDD</vt:lpstr>
      <vt:lpstr>_Choix2</vt:lpstr>
      <vt:lpstr>ActivAtelier</vt:lpstr>
      <vt:lpstr>Choix1</vt:lpstr>
      <vt:lpstr>DateApp</vt:lpstr>
      <vt:lpstr>'ENS Environnement Energie'!Impression_des_titres</vt:lpstr>
      <vt:lpstr>'ENS Qualité'!Impression_des_titres</vt:lpstr>
      <vt:lpstr>'ENS Sécurité'!Impression_des_titres</vt:lpstr>
      <vt:lpstr>Perimetre</vt:lpstr>
      <vt:lpstr>ReferenceIT</vt:lpstr>
      <vt:lpstr>ReferenceMetier</vt:lpstr>
      <vt:lpstr>Titre</vt:lpstr>
      <vt:lpstr>TypeDoc</vt:lpstr>
      <vt:lpstr>Version</vt:lpstr>
    </vt:vector>
  </TitlesOfParts>
  <Manager/>
  <Company>Groupe Lactalis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MAZARS Aurelie</dc:creator>
  <cp:keywords/>
  <dc:description/>
  <cp:lastModifiedBy>Chefs d equipe PPNC</cp:lastModifiedBy>
  <cp:lastPrinted>2025-11-24T17:32:00Z</cp:lastPrinted>
  <dcterms:created xsi:type="dcterms:W3CDTF">2024-04-05T09:39:42Z</dcterms:created>
  <dcterms:modified xsi:type="dcterms:W3CDTF">2026-02-17T22:59:33Z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0x010100C298A22A0322C84C9330E9252AE6E6AD</vt:lpwstr>
  </property>
  <property fmtid="{D5CDD505-2E9C-101B-9397-08002B2CF9AE}" pid="3" name="MediaServiceImageTags">
    <vt:lpwstr/>
  </property>
</Properties>
</file>